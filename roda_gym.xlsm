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45b1a8b0b8b6e9e/proyectos/gym/"/>
    </mc:Choice>
  </mc:AlternateContent>
  <xr:revisionPtr revIDLastSave="6689" documentId="8_{113F37A3-AA3F-46ED-87F3-281640520093}" xr6:coauthVersionLast="47" xr6:coauthVersionMax="47" xr10:uidLastSave="{93B66016-4841-4A57-949D-4138A770C1B8}"/>
  <bookViews>
    <workbookView xWindow="-108" yWindow="-108" windowWidth="23256" windowHeight="12576" activeTab="4" xr2:uid="{C6476CE7-7B7C-41A4-BE19-508FDEE89DE0}"/>
  </bookViews>
  <sheets>
    <sheet name="socios" sheetId="1" r:id="rId1"/>
    <sheet name="membresia" sheetId="6" r:id="rId2"/>
    <sheet name=" " sheetId="4" state="hidden" r:id="rId3"/>
    <sheet name="   " sheetId="5" r:id="rId4"/>
    <sheet name="  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6" l="1"/>
  <c r="C2" i="6" s="1"/>
  <c r="G12" i="6"/>
  <c r="H12" i="6"/>
  <c r="H15" i="6" s="1"/>
  <c r="D12" i="6"/>
  <c r="D15" i="6" s="1"/>
  <c r="D16" i="6" s="1"/>
  <c r="D6" i="6"/>
  <c r="D7" i="6" s="1"/>
  <c r="H18" i="6"/>
  <c r="D9" i="6"/>
  <c r="D8" i="6" l="1"/>
  <c r="H20" i="6" s="1"/>
  <c r="H16" i="6"/>
  <c r="G18" i="1"/>
  <c r="D10" i="6" l="1"/>
  <c r="D18" i="6"/>
  <c r="C2" i="1"/>
  <c r="C13" i="1" l="1"/>
</calcChain>
</file>

<file path=xl/sharedStrings.xml><?xml version="1.0" encoding="utf-8"?>
<sst xmlns="http://schemas.openxmlformats.org/spreadsheetml/2006/main" count="2701" uniqueCount="2500">
  <si>
    <t>Nombre</t>
  </si>
  <si>
    <t>Domicilio</t>
  </si>
  <si>
    <t>Mail</t>
  </si>
  <si>
    <t>Nombre(s)</t>
  </si>
  <si>
    <t>Apellido Paterno</t>
  </si>
  <si>
    <t>Apellido Materno</t>
  </si>
  <si>
    <t>Sexo</t>
  </si>
  <si>
    <t>Masculino</t>
  </si>
  <si>
    <t>Femenino</t>
  </si>
  <si>
    <t>BBVA</t>
  </si>
  <si>
    <t>Banamex</t>
  </si>
  <si>
    <t>Banorte</t>
  </si>
  <si>
    <t>Efectivo</t>
  </si>
  <si>
    <t>Tarjeta Débito</t>
  </si>
  <si>
    <t>Tarjeta Crédito</t>
  </si>
  <si>
    <t>Conceptos</t>
  </si>
  <si>
    <t>Inscripción</t>
  </si>
  <si>
    <t>Mensual</t>
  </si>
  <si>
    <t>Trimestral</t>
  </si>
  <si>
    <t>Semestral</t>
  </si>
  <si>
    <t>Anual</t>
  </si>
  <si>
    <t>Id</t>
  </si>
  <si>
    <t>Edad (años cumplidos)</t>
  </si>
  <si>
    <t>Responsable</t>
  </si>
  <si>
    <t>Colonia</t>
  </si>
  <si>
    <t>Municipio</t>
  </si>
  <si>
    <t>Estatus</t>
  </si>
  <si>
    <t>Fecha registro</t>
  </si>
  <si>
    <t>Registro de Socios (personas inscritas)</t>
  </si>
  <si>
    <t>Paterno</t>
  </si>
  <si>
    <t>Fecha Nac.</t>
  </si>
  <si>
    <t>edad</t>
  </si>
  <si>
    <t>Fecha Nac</t>
  </si>
  <si>
    <t>Edad</t>
  </si>
  <si>
    <t>Correo Electrónico</t>
  </si>
  <si>
    <t>Fecha Reg.</t>
  </si>
  <si>
    <t>Activo</t>
  </si>
  <si>
    <t>Inactivo</t>
  </si>
  <si>
    <t>Fecha Nac. (dd-mm-aaaa)</t>
  </si>
  <si>
    <t>Fecha Nac.(dd-mm-aaaa)</t>
  </si>
  <si>
    <t>Estado</t>
  </si>
  <si>
    <t>Querétaro</t>
  </si>
  <si>
    <t>Nombre Completo</t>
  </si>
  <si>
    <t>Codigo Postal</t>
  </si>
  <si>
    <t>estatus</t>
  </si>
  <si>
    <t>SAN FRANCISCO DE LOS ROMO</t>
  </si>
  <si>
    <t>EL LLANO</t>
  </si>
  <si>
    <t>TEPEZALÁ</t>
  </si>
  <si>
    <t>SAN JOSÉ DE GRACIA</t>
  </si>
  <si>
    <t>RINCÓN DE ROMOS</t>
  </si>
  <si>
    <t>PABELLÓN DE ARTEAGA</t>
  </si>
  <si>
    <t>JESÚS MARÍA</t>
  </si>
  <si>
    <t>COSÍO</t>
  </si>
  <si>
    <t>CALVILLO</t>
  </si>
  <si>
    <t>ASIENTOS</t>
  </si>
  <si>
    <t>AGUASCALIENTES</t>
  </si>
  <si>
    <t>ENSENADA</t>
  </si>
  <si>
    <t>MEXICALI</t>
  </si>
  <si>
    <t>TECATE</t>
  </si>
  <si>
    <t>TIJUANA</t>
  </si>
  <si>
    <t>PLAYAS DE ROSARITO</t>
  </si>
  <si>
    <t>COMONDÚ</t>
  </si>
  <si>
    <t>MULEGÉ</t>
  </si>
  <si>
    <t>LA PAZ</t>
  </si>
  <si>
    <t>LOS CABOS</t>
  </si>
  <si>
    <t>LORETO</t>
  </si>
  <si>
    <t>CALKINÍ</t>
  </si>
  <si>
    <t>CAMPECHE</t>
  </si>
  <si>
    <t>CARMEN</t>
  </si>
  <si>
    <t>CHAMPOTÓN</t>
  </si>
  <si>
    <t>HECELCHAKÁN</t>
  </si>
  <si>
    <t>HOPELCHÉN</t>
  </si>
  <si>
    <t>PALIZADA</t>
  </si>
  <si>
    <t>TENABO</t>
  </si>
  <si>
    <t>ESCÁRCEGA</t>
  </si>
  <si>
    <t>CALAKMUL</t>
  </si>
  <si>
    <t>CANDELARIA</t>
  </si>
  <si>
    <t>SEYBAPLAYA</t>
  </si>
  <si>
    <t>LAGUNA DE TÉRMINOS</t>
  </si>
  <si>
    <t>ACACOYAGUA</t>
  </si>
  <si>
    <t>ACALA</t>
  </si>
  <si>
    <t>ACAPETAHUA</t>
  </si>
  <si>
    <t>ALTAMIRANO</t>
  </si>
  <si>
    <t>AMATÁN</t>
  </si>
  <si>
    <t>AMATENANGO DE LA FRONTERA</t>
  </si>
  <si>
    <t>AMATENANGO DEL VALLE</t>
  </si>
  <si>
    <t>ÁNGEL ALBINO CORZO</t>
  </si>
  <si>
    <t>ARRIAGA</t>
  </si>
  <si>
    <t>BEJUCAL DE OCAMPO</t>
  </si>
  <si>
    <t>BELLA VISTA</t>
  </si>
  <si>
    <t>BERRIOZÁBAL</t>
  </si>
  <si>
    <t>BOCHIL</t>
  </si>
  <si>
    <t>EL BOSQUE</t>
  </si>
  <si>
    <t>CACAHOATÁN</t>
  </si>
  <si>
    <t>CATAZAJÁ</t>
  </si>
  <si>
    <t>CINTALAPA</t>
  </si>
  <si>
    <t>COAPILLA</t>
  </si>
  <si>
    <t>COMITÁN DE DOMÍNGUEZ</t>
  </si>
  <si>
    <t>LA CONCORDIA</t>
  </si>
  <si>
    <t>COPAINALÁ</t>
  </si>
  <si>
    <t>CHALCHIHUITÁN</t>
  </si>
  <si>
    <t>CHAMULA</t>
  </si>
  <si>
    <t>CHANAL</t>
  </si>
  <si>
    <t>CHAPULTENANGO</t>
  </si>
  <si>
    <t>CHENALHÓ</t>
  </si>
  <si>
    <t>CHIAPA DE CORZO</t>
  </si>
  <si>
    <t>CHIAPILLA</t>
  </si>
  <si>
    <t>CHICOASÉN</t>
  </si>
  <si>
    <t>CHICOMUSELO</t>
  </si>
  <si>
    <t>CHILÓN</t>
  </si>
  <si>
    <t>ESCUINTLA</t>
  </si>
  <si>
    <t>FRANCISCO LEÓN</t>
  </si>
  <si>
    <t>FRONTERA COMALAPA</t>
  </si>
  <si>
    <t>FRONTERA HIDALGO</t>
  </si>
  <si>
    <t>LA GRANDEZA</t>
  </si>
  <si>
    <t>HUEHUETÁN</t>
  </si>
  <si>
    <t>HUIXTÁN</t>
  </si>
  <si>
    <t>HUITIUPÁN</t>
  </si>
  <si>
    <t>HUIXTLA</t>
  </si>
  <si>
    <t>LA INDEPENDENCIA</t>
  </si>
  <si>
    <t>IXHUATÁN</t>
  </si>
  <si>
    <t>IXTACOMITÁN</t>
  </si>
  <si>
    <t>IXTAPA</t>
  </si>
  <si>
    <t>IXTAPANGAJOYA</t>
  </si>
  <si>
    <t>JIQUIPILAS</t>
  </si>
  <si>
    <t>JITOTOL</t>
  </si>
  <si>
    <t>JUÁREZ</t>
  </si>
  <si>
    <t>LARRÁINZAR</t>
  </si>
  <si>
    <t>LA LIBERTAD</t>
  </si>
  <si>
    <t>MAPASTEPEC</t>
  </si>
  <si>
    <t>LAS MARGARITAS</t>
  </si>
  <si>
    <t>MAZAPA DE MADERO</t>
  </si>
  <si>
    <t>MAZATÁN</t>
  </si>
  <si>
    <t>METAPA</t>
  </si>
  <si>
    <t>MITONTIC</t>
  </si>
  <si>
    <t>MOTOZINTLA</t>
  </si>
  <si>
    <t>NICOLÁS RUÍZ</t>
  </si>
  <si>
    <t>OCOSINGO</t>
  </si>
  <si>
    <t>OCOTEPEC</t>
  </si>
  <si>
    <t>OCOZOCOAUTLA DE ESPINOSA</t>
  </si>
  <si>
    <t>OSTUACÁN</t>
  </si>
  <si>
    <t>OSUMACINTA</t>
  </si>
  <si>
    <t>OXCHUC</t>
  </si>
  <si>
    <t>PALENQUE</t>
  </si>
  <si>
    <t>PANTELHÓ</t>
  </si>
  <si>
    <t>PANTEPEC</t>
  </si>
  <si>
    <t>PICHUCALCO</t>
  </si>
  <si>
    <t>PIJIJIAPAN</t>
  </si>
  <si>
    <t>EL PORVENIR</t>
  </si>
  <si>
    <t>VILLA COMALTITLÁN</t>
  </si>
  <si>
    <t>PUEBLO NUEVO SOLISTAHUACÁN</t>
  </si>
  <si>
    <t>RAYÓN</t>
  </si>
  <si>
    <t>REFORMA</t>
  </si>
  <si>
    <t>LAS ROSAS</t>
  </si>
  <si>
    <t>SABANILLA</t>
  </si>
  <si>
    <t>SALTO DE AGUA</t>
  </si>
  <si>
    <t>SAN CRISTÓBAL DE LAS CASAS</t>
  </si>
  <si>
    <t>SAN FERNANDO</t>
  </si>
  <si>
    <t>SILTEPEC</t>
  </si>
  <si>
    <t>SIMOJOVEL</t>
  </si>
  <si>
    <t>SITALÁ</t>
  </si>
  <si>
    <t>SOCOLTENANGO</t>
  </si>
  <si>
    <t>SOLOSUCHIAPA</t>
  </si>
  <si>
    <t>SOYALÓ</t>
  </si>
  <si>
    <t>SUCHIAPA</t>
  </si>
  <si>
    <t>SUCHIATE</t>
  </si>
  <si>
    <t>SUNUAPA</t>
  </si>
  <si>
    <t>TAPACHULA</t>
  </si>
  <si>
    <t>TAPALAPA</t>
  </si>
  <si>
    <t>TAPILULA</t>
  </si>
  <si>
    <t>TECPATÁN</t>
  </si>
  <si>
    <t>TENEJAPA</t>
  </si>
  <si>
    <t>TEOPISCA</t>
  </si>
  <si>
    <t>TILA</t>
  </si>
  <si>
    <t>TONALÁ</t>
  </si>
  <si>
    <t>TOTOLAPA</t>
  </si>
  <si>
    <t>LA TRINITARIA</t>
  </si>
  <si>
    <t>TUMBALÁ</t>
  </si>
  <si>
    <t>TUXTLA GUTIÉRREZ</t>
  </si>
  <si>
    <t>TUXTLA CHICO</t>
  </si>
  <si>
    <t>TUZANTÁN</t>
  </si>
  <si>
    <t>TZIMOL</t>
  </si>
  <si>
    <t>UNIÓN JUÁREZ</t>
  </si>
  <si>
    <t>VENUSTIANO CARRANZA</t>
  </si>
  <si>
    <t>VILLA CORZO</t>
  </si>
  <si>
    <t>VILLAFLORES</t>
  </si>
  <si>
    <t>YAJALÓN</t>
  </si>
  <si>
    <t>SAN LUCAS</t>
  </si>
  <si>
    <t>ZINACANTÁN</t>
  </si>
  <si>
    <t>SAN JUAN CANCUC</t>
  </si>
  <si>
    <t>ALDAMA</t>
  </si>
  <si>
    <t>BENEMÉRITO DE LAS AMÉRICAS</t>
  </si>
  <si>
    <t>MARAVILLA TENEJAPA</t>
  </si>
  <si>
    <t>MARQUÉS DE COMILLAS</t>
  </si>
  <si>
    <t>MONTECRISTO DE GUERRERO</t>
  </si>
  <si>
    <t>SAN ANDRÉS DURAZNAL</t>
  </si>
  <si>
    <t>SANTIAGO EL PINAR</t>
  </si>
  <si>
    <t>CAPITÁN LUIS ÁNGEL VIDAL</t>
  </si>
  <si>
    <t>RINCÓN CHAMULA SAN PEDRO</t>
  </si>
  <si>
    <t>EL PARRAL</t>
  </si>
  <si>
    <t>EMILIANO ZAPATA</t>
  </si>
  <si>
    <t>MEZCALAPA</t>
  </si>
  <si>
    <t>HONDURAS DE LA SIERRA</t>
  </si>
  <si>
    <t>AHUMADA</t>
  </si>
  <si>
    <t>ALLENDE</t>
  </si>
  <si>
    <t>AQUILES SERDÁN</t>
  </si>
  <si>
    <t>ASCENSIÓN</t>
  </si>
  <si>
    <t>BACHÍNIVA</t>
  </si>
  <si>
    <t>BALLEZA</t>
  </si>
  <si>
    <t>BATOPILAS</t>
  </si>
  <si>
    <t>BOCOYNA</t>
  </si>
  <si>
    <t>BUENAVENTURA</t>
  </si>
  <si>
    <t>CAMARGO</t>
  </si>
  <si>
    <t>CARICHÍ</t>
  </si>
  <si>
    <t>CASAS GRANDES</t>
  </si>
  <si>
    <t>CORONADO</t>
  </si>
  <si>
    <t>COYAME DEL SOTOL</t>
  </si>
  <si>
    <t>LA CRUZ</t>
  </si>
  <si>
    <t>CUAUHTÉMOC</t>
  </si>
  <si>
    <t>CUSIHUIRIACHI</t>
  </si>
  <si>
    <t>CHIHUAHUA</t>
  </si>
  <si>
    <t>CHÍNIPAS</t>
  </si>
  <si>
    <t>DELICIAS</t>
  </si>
  <si>
    <t>DR. BELISARIO DOMÍNGUEZ</t>
  </si>
  <si>
    <t>GALEANA</t>
  </si>
  <si>
    <t>SANTA ISABEL</t>
  </si>
  <si>
    <t>GÓMEZ FARÍAS</t>
  </si>
  <si>
    <t>GRAN MORELOS</t>
  </si>
  <si>
    <t>GUACHOCHI</t>
  </si>
  <si>
    <t>GUADALUPE</t>
  </si>
  <si>
    <t>GUADALUPE Y CALVO</t>
  </si>
  <si>
    <t>GUAZAPARES</t>
  </si>
  <si>
    <t>GUERRERO</t>
  </si>
  <si>
    <t>HIDALGO DEL PARRAL</t>
  </si>
  <si>
    <t>HUEJOTITÁN</t>
  </si>
  <si>
    <t>IGNACIO ZARAGOZA</t>
  </si>
  <si>
    <t>JANOS</t>
  </si>
  <si>
    <t>JIMÉNEZ</t>
  </si>
  <si>
    <t>JULIMES</t>
  </si>
  <si>
    <t>LÓPEZ</t>
  </si>
  <si>
    <t>MADERA</t>
  </si>
  <si>
    <t>MAGUARICHI</t>
  </si>
  <si>
    <t>MANUEL BENAVIDES</t>
  </si>
  <si>
    <t>MATACHÍ</t>
  </si>
  <si>
    <t>MATAMOROS</t>
  </si>
  <si>
    <t>MEOQUI</t>
  </si>
  <si>
    <t>MORELOS</t>
  </si>
  <si>
    <t>MORIS</t>
  </si>
  <si>
    <t>NAMIQUIPA</t>
  </si>
  <si>
    <t>NONOAVA</t>
  </si>
  <si>
    <t>NUEVO CASAS GRANDES</t>
  </si>
  <si>
    <t>OCAMPO</t>
  </si>
  <si>
    <t>OJINAGA</t>
  </si>
  <si>
    <t>PRAXEDIS G. GUERRERO</t>
  </si>
  <si>
    <t>RIVA PALACIO</t>
  </si>
  <si>
    <t>ROSALES</t>
  </si>
  <si>
    <t>ROSARIO</t>
  </si>
  <si>
    <t>SAN FRANCISCO DE BORJA</t>
  </si>
  <si>
    <t>SAN FRANCISCO DE CONCHOS</t>
  </si>
  <si>
    <t>SAN FRANCISCO DEL ORO</t>
  </si>
  <si>
    <t>SANTA BÁRBARA</t>
  </si>
  <si>
    <t>SATEVÓ</t>
  </si>
  <si>
    <t>SAUCILLO</t>
  </si>
  <si>
    <t>TEMÓSACHIC</t>
  </si>
  <si>
    <t>EL TULE</t>
  </si>
  <si>
    <t>URIQUE</t>
  </si>
  <si>
    <t>URUACHI</t>
  </si>
  <si>
    <t>VALLE DE ZARAGOZA</t>
  </si>
  <si>
    <t>AZCAPOTZALCO</t>
  </si>
  <si>
    <t>COYOACÁN</t>
  </si>
  <si>
    <t>CUAJIMALPA DE MORELOS</t>
  </si>
  <si>
    <t>GUSTAVO A. MADERO</t>
  </si>
  <si>
    <t>IZTACALCO</t>
  </si>
  <si>
    <t>IZTAPALAPA</t>
  </si>
  <si>
    <t>LA MAGDALENA CONTRERAS</t>
  </si>
  <si>
    <t>MILPA ALTA</t>
  </si>
  <si>
    <t>ÁLVARO OBREGÓN</t>
  </si>
  <si>
    <t>TLÁHUAC</t>
  </si>
  <si>
    <t>TLALPAN</t>
  </si>
  <si>
    <t>XOCHIMILCO</t>
  </si>
  <si>
    <t>BENITO JUÁREZ</t>
  </si>
  <si>
    <t>MIGUEL HIDALGO</t>
  </si>
  <si>
    <t>ABASOLO</t>
  </si>
  <si>
    <t>ACUÑA</t>
  </si>
  <si>
    <t>ARTEAGA</t>
  </si>
  <si>
    <t>CANDELA</t>
  </si>
  <si>
    <t>CASTAÑOS</t>
  </si>
  <si>
    <t>CUATRO CIÉNEGAS</t>
  </si>
  <si>
    <t>ESCOBEDO</t>
  </si>
  <si>
    <t>FRANCISCO I. MADERO</t>
  </si>
  <si>
    <t>FRONTERA</t>
  </si>
  <si>
    <t>GENERAL CEPEDA</t>
  </si>
  <si>
    <t>HIDALGO</t>
  </si>
  <si>
    <t>LAMADRID</t>
  </si>
  <si>
    <t>MONCLOVA</t>
  </si>
  <si>
    <t>MÚZQUIZ</t>
  </si>
  <si>
    <t>NADADORES</t>
  </si>
  <si>
    <t>NAVA</t>
  </si>
  <si>
    <t>PARRAS</t>
  </si>
  <si>
    <t>PIEDRAS NEGRAS</t>
  </si>
  <si>
    <t>PROGRESO</t>
  </si>
  <si>
    <t>RAMOS ARIZPE</t>
  </si>
  <si>
    <t>SABINAS</t>
  </si>
  <si>
    <t>SACRAMENTO</t>
  </si>
  <si>
    <t>SALTILLO</t>
  </si>
  <si>
    <t>SAN BUENAVENTURA</t>
  </si>
  <si>
    <t>SAN JUAN DE SABINAS</t>
  </si>
  <si>
    <t>SAN PEDRO</t>
  </si>
  <si>
    <t>SIERRA MOJADA</t>
  </si>
  <si>
    <t>TORREÓN</t>
  </si>
  <si>
    <t>VIESCA</t>
  </si>
  <si>
    <t>VILLA UNIÓN</t>
  </si>
  <si>
    <t>ZARAGOZA</t>
  </si>
  <si>
    <t>ARMERÍA</t>
  </si>
  <si>
    <t>COLIMA</t>
  </si>
  <si>
    <t>COMALA</t>
  </si>
  <si>
    <t>COQUIMATLÁN</t>
  </si>
  <si>
    <t>IXTLAHUACÁN</t>
  </si>
  <si>
    <t>MANZANILLO</t>
  </si>
  <si>
    <t>MINATITLÁN</t>
  </si>
  <si>
    <t>TECOMÁN</t>
  </si>
  <si>
    <t>VILLA DE ÁLVAREZ</t>
  </si>
  <si>
    <t>DURANGO</t>
  </si>
  <si>
    <t>CANATLÁN</t>
  </si>
  <si>
    <t>CANELAS</t>
  </si>
  <si>
    <t>CONETO DE COMONFORT</t>
  </si>
  <si>
    <t>CUENCAMÉ</t>
  </si>
  <si>
    <t>GENERAL SIMÓN BOLÍVAR</t>
  </si>
  <si>
    <t>GÓMEZ PALACIO</t>
  </si>
  <si>
    <t>GUADALUPE VICTORIA</t>
  </si>
  <si>
    <t>GUANACEVÍ</t>
  </si>
  <si>
    <t>INDÉ</t>
  </si>
  <si>
    <t>LERDO</t>
  </si>
  <si>
    <t>MAPIMÍ</t>
  </si>
  <si>
    <t>MEZQUITAL</t>
  </si>
  <si>
    <t>NAZAS</t>
  </si>
  <si>
    <t>NOMBRE DE DIOS</t>
  </si>
  <si>
    <t>EL ORO</t>
  </si>
  <si>
    <t>OTÁEZ</t>
  </si>
  <si>
    <t>PÁNUCO DE CORONADO</t>
  </si>
  <si>
    <t>PEÑÓN BLANCO</t>
  </si>
  <si>
    <t>POANAS</t>
  </si>
  <si>
    <t>PUEBLO NUEVO</t>
  </si>
  <si>
    <t>RODEO</t>
  </si>
  <si>
    <t>SAN BERNARDO</t>
  </si>
  <si>
    <t>SAN DIMAS</t>
  </si>
  <si>
    <t>SAN JUAN DE GUADALUPE</t>
  </si>
  <si>
    <t>SAN JUAN DEL RÍO</t>
  </si>
  <si>
    <t>SAN LUIS DEL CORDERO</t>
  </si>
  <si>
    <t>SAN PEDRO DEL GALLO</t>
  </si>
  <si>
    <t>SANTA CLARA</t>
  </si>
  <si>
    <t>SANTIAGO PAPASQUIARO</t>
  </si>
  <si>
    <t>SÚCHIL</t>
  </si>
  <si>
    <t>TAMAZULA</t>
  </si>
  <si>
    <t>TEPEHUANES</t>
  </si>
  <si>
    <t>TLAHUALILO</t>
  </si>
  <si>
    <t>TOPIA</t>
  </si>
  <si>
    <t>VICENTE GUERRERO</t>
  </si>
  <si>
    <t>NUEVO IDEAL</t>
  </si>
  <si>
    <t>ACAMBAY DE RUÍZ CASTAÑEDA</t>
  </si>
  <si>
    <t>ACOLMAN</t>
  </si>
  <si>
    <t>ACULCO</t>
  </si>
  <si>
    <t>ALMOLOYA DE ALQUISIRAS</t>
  </si>
  <si>
    <t>ALMOLOYA DE JUÁREZ</t>
  </si>
  <si>
    <t>ALMOLOYA DEL RÍO</t>
  </si>
  <si>
    <t>AMANALCO</t>
  </si>
  <si>
    <t>AMATEPEC</t>
  </si>
  <si>
    <t>AMECAMECA</t>
  </si>
  <si>
    <t>APAXCO</t>
  </si>
  <si>
    <t>ATENCO</t>
  </si>
  <si>
    <t>ATIZAPÁN</t>
  </si>
  <si>
    <t>ATIZAPÁN DE ZARAGOZA</t>
  </si>
  <si>
    <t>ATLACOMULCO</t>
  </si>
  <si>
    <t>ATLAUTLA</t>
  </si>
  <si>
    <t>AXAPUSCO</t>
  </si>
  <si>
    <t>AYAPANGO</t>
  </si>
  <si>
    <t>CALIMAYA</t>
  </si>
  <si>
    <t>CAPULHUAC</t>
  </si>
  <si>
    <t>COACALCO DE BERRIOZÁBAL</t>
  </si>
  <si>
    <t>COATEPEC HARINAS</t>
  </si>
  <si>
    <t>COCOTITLÁN</t>
  </si>
  <si>
    <t>COYOTEPEC</t>
  </si>
  <si>
    <t>CUAUTITLÁN</t>
  </si>
  <si>
    <t>CHALCO</t>
  </si>
  <si>
    <t>CHAPA DE MOTA</t>
  </si>
  <si>
    <t>CHAPULTEPEC</t>
  </si>
  <si>
    <t>CHIAUTLA</t>
  </si>
  <si>
    <t>CHICOLOAPAN</t>
  </si>
  <si>
    <t>CHICONCUAC</t>
  </si>
  <si>
    <t>CHIMALHUACÁN</t>
  </si>
  <si>
    <t>DONATO GUERRA</t>
  </si>
  <si>
    <t>ECATEPEC DE MORELOS</t>
  </si>
  <si>
    <t>ECATZINGO</t>
  </si>
  <si>
    <t>HUEHUETOCA</t>
  </si>
  <si>
    <t>HUEYPOXTLA</t>
  </si>
  <si>
    <t>HUIXQUILUCAN</t>
  </si>
  <si>
    <t>ISIDRO FABELA</t>
  </si>
  <si>
    <t>IXTAPALUCA</t>
  </si>
  <si>
    <t>IXTAPAN DE LA SAL</t>
  </si>
  <si>
    <t>IXTAPAN DEL ORO</t>
  </si>
  <si>
    <t>IXTLAHUACA</t>
  </si>
  <si>
    <t>XALATLACO</t>
  </si>
  <si>
    <t>JALTENCO</t>
  </si>
  <si>
    <t>JILOTEPEC</t>
  </si>
  <si>
    <t>JILOTZINGO</t>
  </si>
  <si>
    <t>JIQUIPILCO</t>
  </si>
  <si>
    <t>JOCOTITLÁN</t>
  </si>
  <si>
    <t>JOQUICINGO</t>
  </si>
  <si>
    <t>JUCHITEPEC</t>
  </si>
  <si>
    <t>LERMA</t>
  </si>
  <si>
    <t>MALINALCO</t>
  </si>
  <si>
    <t>MELCHOR OCAMPO</t>
  </si>
  <si>
    <t>METEPEC</t>
  </si>
  <si>
    <t>MEXICALTZINGO</t>
  </si>
  <si>
    <t>NAUCALPAN DE JUÁREZ</t>
  </si>
  <si>
    <t>NEZAHUALCÓYOTL</t>
  </si>
  <si>
    <t>NEXTLALPAN</t>
  </si>
  <si>
    <t>NICOLÁS ROMERO</t>
  </si>
  <si>
    <t>NOPALTEPEC</t>
  </si>
  <si>
    <t>OCOYOACAC</t>
  </si>
  <si>
    <t>OCUILAN</t>
  </si>
  <si>
    <t>OTUMBA</t>
  </si>
  <si>
    <t>OTZOLOAPAN</t>
  </si>
  <si>
    <t>OTZOLOTEPEC</t>
  </si>
  <si>
    <t>OZUMBA</t>
  </si>
  <si>
    <t>PAPALOTLA</t>
  </si>
  <si>
    <t>POLOTITLÁN</t>
  </si>
  <si>
    <t>SAN ANTONIO LA ISLA</t>
  </si>
  <si>
    <t>SAN FELIPE DEL PROGRESO</t>
  </si>
  <si>
    <t>SAN MARTÍN DE LAS PIRÁMIDES</t>
  </si>
  <si>
    <t>SAN MATEO ATENCO</t>
  </si>
  <si>
    <t>SAN SIMÓN DE GUERRERO</t>
  </si>
  <si>
    <t>SANTO TOMÁS</t>
  </si>
  <si>
    <t>SOYANIQUILPAN DE JUÁREZ</t>
  </si>
  <si>
    <t>SULTEPEC</t>
  </si>
  <si>
    <t>TECÁMAC</t>
  </si>
  <si>
    <t>TEJUPILCO</t>
  </si>
  <si>
    <t>TEMAMATLA</t>
  </si>
  <si>
    <t>TEMASCALAPA</t>
  </si>
  <si>
    <t>TEMASCALCINGO</t>
  </si>
  <si>
    <t>TEMASCALTEPEC</t>
  </si>
  <si>
    <t>TEMOAYA</t>
  </si>
  <si>
    <t>TENANCINGO</t>
  </si>
  <si>
    <t>TENANGO DEL AIRE</t>
  </si>
  <si>
    <t>TENANGO DEL VALLE</t>
  </si>
  <si>
    <t>TEOLOYUCAN</t>
  </si>
  <si>
    <t>TEOTIHUACÁN</t>
  </si>
  <si>
    <t>TEPETLAOXTOC</t>
  </si>
  <si>
    <t>TEPETLIXPA</t>
  </si>
  <si>
    <t>TEPOTZOTLÁN</t>
  </si>
  <si>
    <t>TEQUIXQUIAC</t>
  </si>
  <si>
    <t>TEXCALTITLÁN</t>
  </si>
  <si>
    <t>TEXCALYACAC</t>
  </si>
  <si>
    <t>TEXCOCO</t>
  </si>
  <si>
    <t>TEZOYUCA</t>
  </si>
  <si>
    <t>TIANGUISTENCO</t>
  </si>
  <si>
    <t>TIMILPAN</t>
  </si>
  <si>
    <t>TLALMANALCO</t>
  </si>
  <si>
    <t>TLALNEPANTLA DE BAZ</t>
  </si>
  <si>
    <t>TLATLAYA</t>
  </si>
  <si>
    <t>TOLUCA</t>
  </si>
  <si>
    <t>TONATICO</t>
  </si>
  <si>
    <t>TULTEPEC</t>
  </si>
  <si>
    <t>TULTITLÁN</t>
  </si>
  <si>
    <t>VALLE DE BRAVO</t>
  </si>
  <si>
    <t>VILLA DE ALLENDE</t>
  </si>
  <si>
    <t>VILLA DEL CARBÓN</t>
  </si>
  <si>
    <t>VILLA GUERRERO</t>
  </si>
  <si>
    <t>VILLA VICTORIA</t>
  </si>
  <si>
    <t>XONACATLÁN</t>
  </si>
  <si>
    <t>ZACAZONAPAN</t>
  </si>
  <si>
    <t>ZACUALPAN</t>
  </si>
  <si>
    <t>ZINACANTEPEC</t>
  </si>
  <si>
    <t>ZUMPAHUACÁN</t>
  </si>
  <si>
    <t>ZUMPANGO</t>
  </si>
  <si>
    <t>CUAUTITLÁN IZCALLI</t>
  </si>
  <si>
    <t>VALLE DE CHALCO SOLIDARIDAD</t>
  </si>
  <si>
    <t>LUVIANOS</t>
  </si>
  <si>
    <t>SAN JOSÉ DEL RINCÓN</t>
  </si>
  <si>
    <t>TONANITLA</t>
  </si>
  <si>
    <t>ACÁMBARO</t>
  </si>
  <si>
    <t>SAN MIGUEL DE ALLENDE</t>
  </si>
  <si>
    <t>APASEO EL ALTO</t>
  </si>
  <si>
    <t>APASEO EL GRANDE</t>
  </si>
  <si>
    <t>ATARJEA</t>
  </si>
  <si>
    <t>CELAYA</t>
  </si>
  <si>
    <t>MANUEL DOBLADO</t>
  </si>
  <si>
    <t>COMONFORT</t>
  </si>
  <si>
    <t>CORONEO</t>
  </si>
  <si>
    <t>CORTAZAR</t>
  </si>
  <si>
    <t>CUERÁMARO</t>
  </si>
  <si>
    <t>DOCTOR MORA</t>
  </si>
  <si>
    <t>DOLORES HIDALGO CUNA DE LA INDEPENDENCIA</t>
  </si>
  <si>
    <t>GUANAJUATO</t>
  </si>
  <si>
    <t>HUANÍMARO</t>
  </si>
  <si>
    <t>IRAPUATO</t>
  </si>
  <si>
    <t>JARAL DEL PROGRESO</t>
  </si>
  <si>
    <t>JERÉCUARO</t>
  </si>
  <si>
    <t>LEÓN</t>
  </si>
  <si>
    <t>MOROLEÓN</t>
  </si>
  <si>
    <t>PÉNJAMO</t>
  </si>
  <si>
    <t>PURÍSIMA DEL RINCÓN</t>
  </si>
  <si>
    <t>ROMITA</t>
  </si>
  <si>
    <t>SALAMANCA</t>
  </si>
  <si>
    <t>SALVATIERRA</t>
  </si>
  <si>
    <t>SAN DIEGO DE LA UNIÓN</t>
  </si>
  <si>
    <t>SAN FELIPE</t>
  </si>
  <si>
    <t>SAN FRANCISCO DEL RINCÓN</t>
  </si>
  <si>
    <t>SAN JOSÉ ITURBIDE</t>
  </si>
  <si>
    <t>SAN LUIS DE LA PAZ</t>
  </si>
  <si>
    <t>SANTA CATARINA</t>
  </si>
  <si>
    <t>SANTA CRUZ DE JUVENTINO ROSAS</t>
  </si>
  <si>
    <t>SANTIAGO MARAVATÍO</t>
  </si>
  <si>
    <t>SILAO DE LA VICTORIA</t>
  </si>
  <si>
    <t>TARANDACUAO</t>
  </si>
  <si>
    <t>TARIMORO</t>
  </si>
  <si>
    <t>TIERRA BLANCA</t>
  </si>
  <si>
    <t>URIANGATO</t>
  </si>
  <si>
    <t>VALLE DE SANTIAGO</t>
  </si>
  <si>
    <t>VICTORIA</t>
  </si>
  <si>
    <t>VILLAGRÁN</t>
  </si>
  <si>
    <t>XICHÚ</t>
  </si>
  <si>
    <t>YURIRIA</t>
  </si>
  <si>
    <t>ACAPULCO DE JUÁREZ</t>
  </si>
  <si>
    <t>AHUACUOTZINGO</t>
  </si>
  <si>
    <t>AJUCHITLÁN DEL PROGRESO</t>
  </si>
  <si>
    <t>ALCOZAUCA DE GUERRERO</t>
  </si>
  <si>
    <t>ALPOYECA</t>
  </si>
  <si>
    <t>APAXTLA</t>
  </si>
  <si>
    <t>ARCELIA</t>
  </si>
  <si>
    <t>ATENANGO DEL RÍO</t>
  </si>
  <si>
    <t>ATLAMAJALCINGO DEL MONTE</t>
  </si>
  <si>
    <t>ATLIXTAC</t>
  </si>
  <si>
    <t>ATOYAC DE ÁLVAREZ</t>
  </si>
  <si>
    <t>AYUTLA DE LOS LIBRES</t>
  </si>
  <si>
    <t>AZOYÚ</t>
  </si>
  <si>
    <t>BUENAVISTA DE CUÉLLAR</t>
  </si>
  <si>
    <t>COAHUAYUTLA DE JOSÉ MARÍA IZAZAGA</t>
  </si>
  <si>
    <t>COCULA</t>
  </si>
  <si>
    <t>COPALA</t>
  </si>
  <si>
    <t>COPALILLO</t>
  </si>
  <si>
    <t>COPANATOYAC</t>
  </si>
  <si>
    <t>COYUCA DE BENÍTEZ</t>
  </si>
  <si>
    <t>COYUCA DE CATALÁN</t>
  </si>
  <si>
    <t>CUAJINICUILAPA</t>
  </si>
  <si>
    <t>CUALÁC</t>
  </si>
  <si>
    <t>CUAUTEPEC</t>
  </si>
  <si>
    <t>CUETZALA DEL PROGRESO</t>
  </si>
  <si>
    <t>CUTZAMALA DE PINZÓN</t>
  </si>
  <si>
    <t>CHILAPA DE ÁLVAREZ</t>
  </si>
  <si>
    <t>CHILPANCINGO DE LOS BRAVO</t>
  </si>
  <si>
    <t>FLORENCIO VILLARREAL</t>
  </si>
  <si>
    <t>GENERAL CANUTO A. NERI</t>
  </si>
  <si>
    <t>GENERAL HELIODORO CASTILLO</t>
  </si>
  <si>
    <t>HUAMUXTITLÁN</t>
  </si>
  <si>
    <t>HUITZUCO DE LOS FIGUEROA</t>
  </si>
  <si>
    <t>IGUALA DE LA INDEPENDENCIA</t>
  </si>
  <si>
    <t>IGUALAPA</t>
  </si>
  <si>
    <t>IXCATEOPAN DE CUAUHTÉMOC</t>
  </si>
  <si>
    <t>ZIHUATANEJO DE AZUETA</t>
  </si>
  <si>
    <t>JUAN R. ESCUDERO</t>
  </si>
  <si>
    <t>LEONARDO BRAVO</t>
  </si>
  <si>
    <t>MALINALTEPEC</t>
  </si>
  <si>
    <t>MÁRTIR DE CUILAPAN</t>
  </si>
  <si>
    <t>METLATÓNOC</t>
  </si>
  <si>
    <t>MOCHITLÁN</t>
  </si>
  <si>
    <t>OLINALÁ</t>
  </si>
  <si>
    <t>OMETEPEC</t>
  </si>
  <si>
    <t>PEDRO ASCENCIO ALQUISIRAS</t>
  </si>
  <si>
    <t>PETATLÁN</t>
  </si>
  <si>
    <t>PILCAYA</t>
  </si>
  <si>
    <t>PUNGARABATO</t>
  </si>
  <si>
    <t>QUECHULTENANGO</t>
  </si>
  <si>
    <t>SAN LUIS ACATLÁN</t>
  </si>
  <si>
    <t>SAN MARCOS</t>
  </si>
  <si>
    <t>SAN MIGUEL TOTOLAPAN</t>
  </si>
  <si>
    <t>TAXCO DE ALARCÓN</t>
  </si>
  <si>
    <t>TECOANAPA</t>
  </si>
  <si>
    <t>TÉCPAN DE GALEANA</t>
  </si>
  <si>
    <t>TELOLOAPAN</t>
  </si>
  <si>
    <t>TEPECOACUILCO DE TRUJANO</t>
  </si>
  <si>
    <t>TETIPAC</t>
  </si>
  <si>
    <t>TIXTLA DE GUERRERO</t>
  </si>
  <si>
    <t>TLACOACHISTLAHUACA</t>
  </si>
  <si>
    <t>TLACOAPA</t>
  </si>
  <si>
    <t>TLALCHAPA</t>
  </si>
  <si>
    <t>TLALIXTAQUILLA DE MALDONADO</t>
  </si>
  <si>
    <t>TLAPA DE COMONFORT</t>
  </si>
  <si>
    <t>TLAPEHUALA</t>
  </si>
  <si>
    <t>LA UNIÓN DE ISIDORO MONTES DE OCA</t>
  </si>
  <si>
    <t>XALPATLÁHUAC</t>
  </si>
  <si>
    <t>XOCHIHUEHUETLÁN</t>
  </si>
  <si>
    <t>XOCHISTLAHUACA</t>
  </si>
  <si>
    <t>ZAPOTITLÁN TABLAS</t>
  </si>
  <si>
    <t>ZIRÁNDARO</t>
  </si>
  <si>
    <t>ZITLALA</t>
  </si>
  <si>
    <t>EDUARDO NERI</t>
  </si>
  <si>
    <t>ACATEPEC</t>
  </si>
  <si>
    <t>MARQUELIA</t>
  </si>
  <si>
    <t>COCHOAPA EL GRANDE</t>
  </si>
  <si>
    <t>JOSÉ JOAQUÍN DE HERRERA</t>
  </si>
  <si>
    <t>JUCHITÁN</t>
  </si>
  <si>
    <t>ILIATENCO</t>
  </si>
  <si>
    <t>ACATLÁN</t>
  </si>
  <si>
    <t>ACAXOCHITLÁN</t>
  </si>
  <si>
    <t>ACTOPAN</t>
  </si>
  <si>
    <t>AGUA BLANCA DE ITURBIDE</t>
  </si>
  <si>
    <t>AJACUBA</t>
  </si>
  <si>
    <t>ALFAJAYUCAN</t>
  </si>
  <si>
    <t>ALMOLOYA</t>
  </si>
  <si>
    <t>APAN</t>
  </si>
  <si>
    <t>EL ARENAL</t>
  </si>
  <si>
    <t>ATITALAQUIA</t>
  </si>
  <si>
    <t>ATLAPEXCO</t>
  </si>
  <si>
    <t>ATOTONILCO EL GRANDE</t>
  </si>
  <si>
    <t>ATOTONILCO DE TULA</t>
  </si>
  <si>
    <t>CALNALI</t>
  </si>
  <si>
    <t>CARDONAL</t>
  </si>
  <si>
    <t>CUAUTEPEC DE HINOJOSA</t>
  </si>
  <si>
    <t>CHAPANTONGO</t>
  </si>
  <si>
    <t>CHAPULHUACÁN</t>
  </si>
  <si>
    <t>CHILCUAUTLA</t>
  </si>
  <si>
    <t>ELOXOCHITLÁN</t>
  </si>
  <si>
    <t>EPAZOYUCAN</t>
  </si>
  <si>
    <t>HUASCA DE OCAMPO</t>
  </si>
  <si>
    <t>HUAUTLA</t>
  </si>
  <si>
    <t>HUAZALINGO</t>
  </si>
  <si>
    <t>HUEHUETLA</t>
  </si>
  <si>
    <t>HUEJUTLA DE REYES</t>
  </si>
  <si>
    <t>HUICHAPAN</t>
  </si>
  <si>
    <t>IXMIQUILPAN</t>
  </si>
  <si>
    <t>JACALA DE LEDEZMA</t>
  </si>
  <si>
    <t>JALTOCÁN</t>
  </si>
  <si>
    <t>JUÁREZ HIDALGO</t>
  </si>
  <si>
    <t>LOLOTLA</t>
  </si>
  <si>
    <t>SAN AGUSTÍN METZQUITITLÁN</t>
  </si>
  <si>
    <t>METZTITLÁN</t>
  </si>
  <si>
    <t>MINERAL DEL CHICO</t>
  </si>
  <si>
    <t>MINERAL DEL MONTE</t>
  </si>
  <si>
    <t>LA MISIÓN</t>
  </si>
  <si>
    <t>MIXQUIAHUALA DE JUÁREZ</t>
  </si>
  <si>
    <t>MOLANGO DE ESCAMILLA</t>
  </si>
  <si>
    <t>NICOLÁS FLORES</t>
  </si>
  <si>
    <t>NOPALA DE VILLAGRÁN</t>
  </si>
  <si>
    <t>OMITLÁN DE JUÁREZ</t>
  </si>
  <si>
    <t>SAN FELIPE ORIZATLÁN</t>
  </si>
  <si>
    <t>PACULA</t>
  </si>
  <si>
    <t>PACHUCA DE SOTO</t>
  </si>
  <si>
    <t>PISAFLORES</t>
  </si>
  <si>
    <t>PROGRESO DE OBREGÓN</t>
  </si>
  <si>
    <t>MINERAL DE LA REFORMA</t>
  </si>
  <si>
    <t>SAN AGUSTÍN TLAXIACA</t>
  </si>
  <si>
    <t>SAN BARTOLO TUTOTEPEC</t>
  </si>
  <si>
    <t>SAN SALVADOR</t>
  </si>
  <si>
    <t>SANTIAGO DE ANAYA</t>
  </si>
  <si>
    <t>SANTIAGO TULANTEPEC DE LUGO GUERRERO</t>
  </si>
  <si>
    <t>SINGUILUCAN</t>
  </si>
  <si>
    <t>TASQUILLO</t>
  </si>
  <si>
    <t>TECOZAUTLA</t>
  </si>
  <si>
    <t>TENANGO DE DORIA</t>
  </si>
  <si>
    <t>TEPEAPULCO</t>
  </si>
  <si>
    <t>TEPEHUACÁN DE GUERRERO</t>
  </si>
  <si>
    <t>TEPEJI DEL RÍO DE OCAMPO</t>
  </si>
  <si>
    <t>TEPETITLÁN</t>
  </si>
  <si>
    <t>TETEPANGO</t>
  </si>
  <si>
    <t>VILLA DE TEZONTEPEC</t>
  </si>
  <si>
    <t>TEZONTEPEC DE ALDAMA</t>
  </si>
  <si>
    <t>TIANGUISTENGO</t>
  </si>
  <si>
    <t>TIZAYUCA</t>
  </si>
  <si>
    <t>TLAHUELILPAN</t>
  </si>
  <si>
    <t>TLAHUILTEPA</t>
  </si>
  <si>
    <t>TLANALAPA</t>
  </si>
  <si>
    <t>TLANCHINOL</t>
  </si>
  <si>
    <t>TLAXCOAPAN</t>
  </si>
  <si>
    <t>TOLCAYUCA</t>
  </si>
  <si>
    <t>TULA DE ALLENDE</t>
  </si>
  <si>
    <t>TULANCINGO DE BRAVO</t>
  </si>
  <si>
    <t>XOCHIATIPAN</t>
  </si>
  <si>
    <t>XOCHICOATLÁN</t>
  </si>
  <si>
    <t>YAHUALICA</t>
  </si>
  <si>
    <t>ZACUALTIPÁN DE ÁNGELES</t>
  </si>
  <si>
    <t>ZAPOTLÁN DE JUÁREZ</t>
  </si>
  <si>
    <t>ZEMPOALA</t>
  </si>
  <si>
    <t>ZIMAPÁN</t>
  </si>
  <si>
    <t>ACATIC</t>
  </si>
  <si>
    <t>ACATLÁN DE JUÁREZ</t>
  </si>
  <si>
    <t>AHUALULCO DE MERCADO</t>
  </si>
  <si>
    <t>AMACUECA</t>
  </si>
  <si>
    <t>AMATITÁN</t>
  </si>
  <si>
    <t>AMECA</t>
  </si>
  <si>
    <t>SAN JUANITO DE ESCOBEDO</t>
  </si>
  <si>
    <t>ARANDAS</t>
  </si>
  <si>
    <t>ATEMAJAC DE BRIZUELA</t>
  </si>
  <si>
    <t>ATENGO</t>
  </si>
  <si>
    <t>ATENGUILLO</t>
  </si>
  <si>
    <t>ATOTONILCO EL ALTO</t>
  </si>
  <si>
    <t>ATOYAC</t>
  </si>
  <si>
    <t>AUTLÁN DE NAVARRO</t>
  </si>
  <si>
    <t>AYOTLÁN</t>
  </si>
  <si>
    <t>AYUTLA</t>
  </si>
  <si>
    <t>LA BARCA</t>
  </si>
  <si>
    <t>BOLAÑOS</t>
  </si>
  <si>
    <t>CABO CORRIENTES</t>
  </si>
  <si>
    <t>CASIMIRO CASTILLO</t>
  </si>
  <si>
    <t>CIHUATLÁN</t>
  </si>
  <si>
    <t>ZAPOTLÁN EL GRANDE</t>
  </si>
  <si>
    <t>COLOTLÁN</t>
  </si>
  <si>
    <t>CONCEPCIÓN DE BUENOS AIRES</t>
  </si>
  <si>
    <t>CUAUTITLÁN DE GARCÍA BARRAGÁN</t>
  </si>
  <si>
    <t>CUAUTLA</t>
  </si>
  <si>
    <t>CUQUÍO</t>
  </si>
  <si>
    <t>CHAPALA</t>
  </si>
  <si>
    <t>CHIMALTITÁN</t>
  </si>
  <si>
    <t>CHIQUILISTLÁN</t>
  </si>
  <si>
    <t>DEGOLLADO</t>
  </si>
  <si>
    <t>EJUTLA</t>
  </si>
  <si>
    <t>ENCARNACIÓN DE DÍAZ</t>
  </si>
  <si>
    <t>ETZATLÁN</t>
  </si>
  <si>
    <t>EL GRULLO</t>
  </si>
  <si>
    <t>GUACHINANGO</t>
  </si>
  <si>
    <t>GUADALAJARA</t>
  </si>
  <si>
    <t>HOSTOTIPAQUILLO</t>
  </si>
  <si>
    <t>HUEJÚCAR</t>
  </si>
  <si>
    <t>HUEJUQUILLA EL ALTO</t>
  </si>
  <si>
    <t>LA HUERTA</t>
  </si>
  <si>
    <t>IXTLAHUACÁN DE LOS MEMBRILLOS</t>
  </si>
  <si>
    <t>IXTLAHUACÁN DEL RÍO</t>
  </si>
  <si>
    <t>JALOSTOTITLÁN</t>
  </si>
  <si>
    <t>JAMAY</t>
  </si>
  <si>
    <t>JILOTLÁN DE LOS DOLORES</t>
  </si>
  <si>
    <t>JOCOTEPEC</t>
  </si>
  <si>
    <t>JUANACATLÁN</t>
  </si>
  <si>
    <t>JUCHITLÁN</t>
  </si>
  <si>
    <t>LAGOS DE MORENO</t>
  </si>
  <si>
    <t>EL LIMÓN</t>
  </si>
  <si>
    <t>MAGDALENA</t>
  </si>
  <si>
    <t>SANTA MARÍA DEL ORO</t>
  </si>
  <si>
    <t>LA MANZANILLA DE LA PAZ</t>
  </si>
  <si>
    <t>MASCOTA</t>
  </si>
  <si>
    <t>MAZAMITLA</t>
  </si>
  <si>
    <t>MEXTICACÁN</t>
  </si>
  <si>
    <t>MEZQUITIC</t>
  </si>
  <si>
    <t>MIXTLÁN</t>
  </si>
  <si>
    <t>OCOTLÁN</t>
  </si>
  <si>
    <t>OJUELOS DE JALISCO</t>
  </si>
  <si>
    <t>PIHUAMO</t>
  </si>
  <si>
    <t>PONCITLÁN</t>
  </si>
  <si>
    <t>PUERTO VALLARTA</t>
  </si>
  <si>
    <t>VILLA PURIFICACIÓN</t>
  </si>
  <si>
    <t>QUITUPAN</t>
  </si>
  <si>
    <t>EL SALTO</t>
  </si>
  <si>
    <t>SAN CRISTÓBAL DE LA BARRANCA</t>
  </si>
  <si>
    <t>SAN DIEGO DE ALEJANDRÍA</t>
  </si>
  <si>
    <t>SAN JUAN DE LOS LAGOS</t>
  </si>
  <si>
    <t>SAN JULIÁN</t>
  </si>
  <si>
    <t>SAN MARTÍN DE BOLAÑOS</t>
  </si>
  <si>
    <t>SAN MARTÍN HIDALGO</t>
  </si>
  <si>
    <t>SAN MIGUEL EL ALTO</t>
  </si>
  <si>
    <t>SAN SEBASTIÁN DEL OESTE</t>
  </si>
  <si>
    <t>SANTA MARÍA DE LOS ÁNGELES</t>
  </si>
  <si>
    <t>SAYULA</t>
  </si>
  <si>
    <t>TALA</t>
  </si>
  <si>
    <t>TALPA DE ALLENDE</t>
  </si>
  <si>
    <t>TAMAZULA DE GORDIANO</t>
  </si>
  <si>
    <t>TAPALPA</t>
  </si>
  <si>
    <t>TECALITLÁN</t>
  </si>
  <si>
    <t>TECOLOTLÁN</t>
  </si>
  <si>
    <t>TECHALUTA DE MONTENEGRO</t>
  </si>
  <si>
    <t>TENAMAXTLÁN</t>
  </si>
  <si>
    <t>TEOCALTICHE</t>
  </si>
  <si>
    <t>TEOCUITATLÁN DE CORONA</t>
  </si>
  <si>
    <t>TEPATITLÁN DE MORELOS</t>
  </si>
  <si>
    <t>TEQUILA</t>
  </si>
  <si>
    <t>TEUCHITLÁN</t>
  </si>
  <si>
    <t>TIZAPÁN EL ALTO</t>
  </si>
  <si>
    <t>TLAJOMULCO DE ZÚÑIGA</t>
  </si>
  <si>
    <t>SAN PEDRO TLAQUEPAQUE</t>
  </si>
  <si>
    <t>TOLIMÁN</t>
  </si>
  <si>
    <t>TOMATLÁN</t>
  </si>
  <si>
    <t>TONAYA</t>
  </si>
  <si>
    <t>TONILA</t>
  </si>
  <si>
    <t>TOTATICHE</t>
  </si>
  <si>
    <t>TOTOTLÁN</t>
  </si>
  <si>
    <t>TUXCACUESCO</t>
  </si>
  <si>
    <t>TUXCUECA</t>
  </si>
  <si>
    <t>TUXPAN</t>
  </si>
  <si>
    <t>UNIÓN DE SAN ANTONIO</t>
  </si>
  <si>
    <t>UNIÓN DE TULA</t>
  </si>
  <si>
    <t>VALLE DE GUADALUPE</t>
  </si>
  <si>
    <t>VALLE DE JUÁREZ</t>
  </si>
  <si>
    <t>SAN GABRIEL</t>
  </si>
  <si>
    <t>VILLA CORONA</t>
  </si>
  <si>
    <t>VILLA HIDALGO</t>
  </si>
  <si>
    <t>CAÑADAS DE OBREGÓN</t>
  </si>
  <si>
    <t>YAHUALICA DE GONZÁLEZ GALLO</t>
  </si>
  <si>
    <t>ZACOALCO DE TORRES</t>
  </si>
  <si>
    <t>ZAPOPAN</t>
  </si>
  <si>
    <t>ZAPOTILTIC</t>
  </si>
  <si>
    <t>ZAPOTITLÁN DE VADILLO</t>
  </si>
  <si>
    <t>ZAPOTLÁN DEL REY</t>
  </si>
  <si>
    <t>ZAPOTLANEJO</t>
  </si>
  <si>
    <t>SAN IGNACIO CERRO GORDO</t>
  </si>
  <si>
    <t>ACUITZIO</t>
  </si>
  <si>
    <t>AGUILILLA</t>
  </si>
  <si>
    <t>ANGAMACUTIRO</t>
  </si>
  <si>
    <t>ANGANGUEO</t>
  </si>
  <si>
    <t>APATZINGÁN</t>
  </si>
  <si>
    <t>APORO</t>
  </si>
  <si>
    <t>AQUILA</t>
  </si>
  <si>
    <t>ARIO</t>
  </si>
  <si>
    <t>BRISEÑAS</t>
  </si>
  <si>
    <t>BUENAVISTA</t>
  </si>
  <si>
    <t>CARÁCUARO</t>
  </si>
  <si>
    <t>COAHUAYANA</t>
  </si>
  <si>
    <t>COALCOMÁN DE VÁZQUEZ PALLARES</t>
  </si>
  <si>
    <t>COENEO</t>
  </si>
  <si>
    <t>CONTEPEC</t>
  </si>
  <si>
    <t>COPÁNDARO</t>
  </si>
  <si>
    <t>COTIJA</t>
  </si>
  <si>
    <t>CUITZEO</t>
  </si>
  <si>
    <t>CHARAPAN</t>
  </si>
  <si>
    <t>CHARO</t>
  </si>
  <si>
    <t>CHAVINDA</t>
  </si>
  <si>
    <t>CHERÁN</t>
  </si>
  <si>
    <t>CHILCHOTA</t>
  </si>
  <si>
    <t>CHINICUILA</t>
  </si>
  <si>
    <t>CHUCÁNDIRO</t>
  </si>
  <si>
    <t>CHURINTZIO</t>
  </si>
  <si>
    <t>CHURUMUCO</t>
  </si>
  <si>
    <t>ECUANDUREO</t>
  </si>
  <si>
    <t>EPITACIO HUERTA</t>
  </si>
  <si>
    <t>ERONGARÍCUARO</t>
  </si>
  <si>
    <t>GABRIEL ZAMORA</t>
  </si>
  <si>
    <t>LA HUACANA</t>
  </si>
  <si>
    <t>HUANDACAREO</t>
  </si>
  <si>
    <t>HUANIQUEO</t>
  </si>
  <si>
    <t>HUETAMO</t>
  </si>
  <si>
    <t>HUIRAMBA</t>
  </si>
  <si>
    <t>INDAPARAPEO</t>
  </si>
  <si>
    <t>IRIMBO</t>
  </si>
  <si>
    <t>IXTLÁN</t>
  </si>
  <si>
    <t>JACONA</t>
  </si>
  <si>
    <t>JIQUILPAN</t>
  </si>
  <si>
    <t>JUNGAPEO</t>
  </si>
  <si>
    <t>LAGUNILLAS</t>
  </si>
  <si>
    <t>MADERO</t>
  </si>
  <si>
    <t>MARAVATÍO</t>
  </si>
  <si>
    <t>MARCOS CASTELLANOS</t>
  </si>
  <si>
    <t>LÁZARO CÁRDENAS</t>
  </si>
  <si>
    <t>MORELIA</t>
  </si>
  <si>
    <t>MÚGICA</t>
  </si>
  <si>
    <t>NAHUATZEN</t>
  </si>
  <si>
    <t>NOCUPÉTARO</t>
  </si>
  <si>
    <t>NUEVO PARANGARICUTIRO</t>
  </si>
  <si>
    <t>NUEVO URECHO</t>
  </si>
  <si>
    <t>NUMARÁN</t>
  </si>
  <si>
    <t>PAJACUARÁN</t>
  </si>
  <si>
    <t>PANINDÍCUARO</t>
  </si>
  <si>
    <t>PARÁCUARO</t>
  </si>
  <si>
    <t>PARACHO</t>
  </si>
  <si>
    <t>PÁTZCUARO</t>
  </si>
  <si>
    <t>PENJAMILLO</t>
  </si>
  <si>
    <t>PERIBÁN</t>
  </si>
  <si>
    <t>LA PIEDAD</t>
  </si>
  <si>
    <t>PURÉPERO</t>
  </si>
  <si>
    <t>PURUÁNDIRO</t>
  </si>
  <si>
    <t>QUERÉNDARO</t>
  </si>
  <si>
    <t>QUIROGA</t>
  </si>
  <si>
    <t>COJUMATLÁN DE RÉGULES</t>
  </si>
  <si>
    <t>LOS REYES</t>
  </si>
  <si>
    <t>SAHUAYO</t>
  </si>
  <si>
    <t>SANTA ANA MAYA</t>
  </si>
  <si>
    <t>SALVADOR ESCALANTE</t>
  </si>
  <si>
    <t>SENGUIO</t>
  </si>
  <si>
    <t>SUSUPUATO</t>
  </si>
  <si>
    <t>TACÁMBARO</t>
  </si>
  <si>
    <t>TANCÍTARO</t>
  </si>
  <si>
    <t>TANGAMANDAPIO</t>
  </si>
  <si>
    <t>TANGANCÍCUARO</t>
  </si>
  <si>
    <t>TANHUATO</t>
  </si>
  <si>
    <t>TARETAN</t>
  </si>
  <si>
    <t>TARÍMBARO</t>
  </si>
  <si>
    <t>TEPALCATEPEC</t>
  </si>
  <si>
    <t>TINGAMBATO</t>
  </si>
  <si>
    <t>TINGÁœINDÍN</t>
  </si>
  <si>
    <t>TIQUICHEO DE NICOLÁS ROMERO</t>
  </si>
  <si>
    <t>TLALPUJAHUA</t>
  </si>
  <si>
    <t>TLAZAZALCA</t>
  </si>
  <si>
    <t>TOCUMBO</t>
  </si>
  <si>
    <t>TUMBISCATÍO</t>
  </si>
  <si>
    <t>TURICATO</t>
  </si>
  <si>
    <t>TUZANTLA</t>
  </si>
  <si>
    <t>TZINTZUNTZAN</t>
  </si>
  <si>
    <t>TZITZIO</t>
  </si>
  <si>
    <t>URUAPAN</t>
  </si>
  <si>
    <t>VILLAMAR</t>
  </si>
  <si>
    <t>VISTA HERMOSA</t>
  </si>
  <si>
    <t>YURÉCUARO</t>
  </si>
  <si>
    <t>ZACAPU</t>
  </si>
  <si>
    <t>ZAMORA</t>
  </si>
  <si>
    <t>ZINÁPARO</t>
  </si>
  <si>
    <t>ZINAPÉCUARO</t>
  </si>
  <si>
    <t>ZIRACUARETIRO</t>
  </si>
  <si>
    <t>ZITÁCUARO</t>
  </si>
  <si>
    <t>JOSÉ SIXTO VERDUZCO</t>
  </si>
  <si>
    <t>AMACUZAC</t>
  </si>
  <si>
    <t>ATLATLAHUCAN</t>
  </si>
  <si>
    <t>AXOCHIAPAN</t>
  </si>
  <si>
    <t>AYALA</t>
  </si>
  <si>
    <t>COATLÁN DEL RÍO</t>
  </si>
  <si>
    <t>CUERNAVACA</t>
  </si>
  <si>
    <t>HUITZILAC</t>
  </si>
  <si>
    <t>JANTETELCO</t>
  </si>
  <si>
    <t>JIUTEPEC</t>
  </si>
  <si>
    <t>JOJUTLA</t>
  </si>
  <si>
    <t>JONACATEPEC DE LEANDRO VALLE</t>
  </si>
  <si>
    <t>MAZATEPEC</t>
  </si>
  <si>
    <t>MIACATLÁN</t>
  </si>
  <si>
    <t>OCUITUCO</t>
  </si>
  <si>
    <t>PUENTE DE IXTLA</t>
  </si>
  <si>
    <t>TEMIXCO</t>
  </si>
  <si>
    <t>TEPALCINGO</t>
  </si>
  <si>
    <t>TEPOZTLÁN</t>
  </si>
  <si>
    <t>TETECALA</t>
  </si>
  <si>
    <t>TETELA DEL VOLCÁN</t>
  </si>
  <si>
    <t>TLALNEPANTLA</t>
  </si>
  <si>
    <t>TLALTIZAPÁN DE ZAPATA</t>
  </si>
  <si>
    <t>TLAQUILTENANGO</t>
  </si>
  <si>
    <t>TLAYACAPAN</t>
  </si>
  <si>
    <t>TOTOLAPAN</t>
  </si>
  <si>
    <t>XOCHITEPEC</t>
  </si>
  <si>
    <t>YAUTEPEC</t>
  </si>
  <si>
    <t>YECAPIXTLA</t>
  </si>
  <si>
    <t>ZACATEPEC</t>
  </si>
  <si>
    <t>ZACUALPAN DE AMILPAS</t>
  </si>
  <si>
    <t>TEMOAC</t>
  </si>
  <si>
    <t>ACAPONETA</t>
  </si>
  <si>
    <t>AHUACATLÁN</t>
  </si>
  <si>
    <t>AMATLÁN DE CAÑAS</t>
  </si>
  <si>
    <t>COMPOSTELA</t>
  </si>
  <si>
    <t>HUAJICORI</t>
  </si>
  <si>
    <t>IXTLÁN DEL RÍO</t>
  </si>
  <si>
    <t>JALA</t>
  </si>
  <si>
    <t>XALISCO</t>
  </si>
  <si>
    <t>DEL NAYAR</t>
  </si>
  <si>
    <t>ROSAMORADA</t>
  </si>
  <si>
    <t>RUÍZ</t>
  </si>
  <si>
    <t>SAN BLAS</t>
  </si>
  <si>
    <t>SAN PEDRO LAGUNILLAS</t>
  </si>
  <si>
    <t>SANTIAGO IXCUINTLA</t>
  </si>
  <si>
    <t>TECUALA</t>
  </si>
  <si>
    <t>TEPIC</t>
  </si>
  <si>
    <t>LA YESCA</t>
  </si>
  <si>
    <t>BAHÍA DE BANDERAS</t>
  </si>
  <si>
    <t>AGUALEGUAS</t>
  </si>
  <si>
    <t>LOS ALDAMAS</t>
  </si>
  <si>
    <t>ANÁHUAC</t>
  </si>
  <si>
    <t>APODACA</t>
  </si>
  <si>
    <t>ARAMBERRI</t>
  </si>
  <si>
    <t>BUSTAMANTE</t>
  </si>
  <si>
    <t>CADEREYTA JIMÉNEZ</t>
  </si>
  <si>
    <t>EL CARMEN</t>
  </si>
  <si>
    <t>CERRALVO</t>
  </si>
  <si>
    <t>CIÉNEGA DE FLORES</t>
  </si>
  <si>
    <t>CHINA</t>
  </si>
  <si>
    <t>DOCTOR ARROYO</t>
  </si>
  <si>
    <t>DOCTOR COSS</t>
  </si>
  <si>
    <t>DOCTOR GONZÁLEZ</t>
  </si>
  <si>
    <t>GARCÍA</t>
  </si>
  <si>
    <t>SAN PEDRO GARZA GARCÍA</t>
  </si>
  <si>
    <t>GENERAL BRAVO</t>
  </si>
  <si>
    <t>GENERAL ESCOBEDO</t>
  </si>
  <si>
    <t>GENERAL TERÁN</t>
  </si>
  <si>
    <t>GENERAL TREVIÑO</t>
  </si>
  <si>
    <t>GENERAL ZARAGOZA</t>
  </si>
  <si>
    <t>GENERAL ZUAZUA</t>
  </si>
  <si>
    <t>LOS HERRERAS</t>
  </si>
  <si>
    <t>HIGUERAS</t>
  </si>
  <si>
    <t>HUALAHUISES</t>
  </si>
  <si>
    <t>ITURBIDE</t>
  </si>
  <si>
    <t>LAMPAZOS DE NARANJO</t>
  </si>
  <si>
    <t>LINARES</t>
  </si>
  <si>
    <t>MARÍN</t>
  </si>
  <si>
    <t>MIER Y NORIEGA</t>
  </si>
  <si>
    <t>MINA</t>
  </si>
  <si>
    <t>MONTEMORELOS</t>
  </si>
  <si>
    <t>MONTERREY</t>
  </si>
  <si>
    <t>PARÁS</t>
  </si>
  <si>
    <t>PESQUERÍA</t>
  </si>
  <si>
    <t>LOS RAMONES</t>
  </si>
  <si>
    <t>RAYONES</t>
  </si>
  <si>
    <t>SABINAS HIDALGO</t>
  </si>
  <si>
    <t>SALINAS VICTORIA</t>
  </si>
  <si>
    <t>SAN NICOLÁS DE LOS GARZA</t>
  </si>
  <si>
    <t>SANTIAGO</t>
  </si>
  <si>
    <t>VALLECILLO</t>
  </si>
  <si>
    <t>VILLALDAMA</t>
  </si>
  <si>
    <t>ABEJONES</t>
  </si>
  <si>
    <t>ACATLÁN DE PÉREZ FIGUEROA</t>
  </si>
  <si>
    <t>ASUNCIÓN CACALOTEPEC</t>
  </si>
  <si>
    <t>ASUNCIÓN CUYOTEPEJI</t>
  </si>
  <si>
    <t>ASUNCIÓN IXTALTEPEC</t>
  </si>
  <si>
    <t>ASUNCIÓN NOCHIXTLÁN</t>
  </si>
  <si>
    <t>ASUNCIÓN OCOTLÁN</t>
  </si>
  <si>
    <t>ASUNCIÓN TLACOLULITA</t>
  </si>
  <si>
    <t>AYOTZINTEPEC</t>
  </si>
  <si>
    <t>EL BARRIO DE LA SOLEDAD</t>
  </si>
  <si>
    <t>CALIHUALÁ</t>
  </si>
  <si>
    <t>CANDELARIA LOXICHA</t>
  </si>
  <si>
    <t>CIÉNEGA DE ZIMATLÁN</t>
  </si>
  <si>
    <t>CIUDAD IXTEPEC</t>
  </si>
  <si>
    <t>COATECAS ALTAS</t>
  </si>
  <si>
    <t>COICOYÁN DE LAS FLORES</t>
  </si>
  <si>
    <t>LA COMPAÑÍA</t>
  </si>
  <si>
    <t>CONCEPCIÓN BUENAVISTA</t>
  </si>
  <si>
    <t>CONCEPCIÓN PÁPALO</t>
  </si>
  <si>
    <t>CONSTANCIA DEL ROSARIO</t>
  </si>
  <si>
    <t>COSOLAPA</t>
  </si>
  <si>
    <t>COSOLTEPEC</t>
  </si>
  <si>
    <t>CUILÁPAM DE GUERRERO</t>
  </si>
  <si>
    <t>CUYAMECALCO VILLA DE ZARAGOZA</t>
  </si>
  <si>
    <t>CHAHUITES</t>
  </si>
  <si>
    <t>CHALCATONGO DE HIDALGO</t>
  </si>
  <si>
    <t>CHIQUIHUITLÁN DE BENITO JUÁREZ</t>
  </si>
  <si>
    <t>HEROICA CIUDAD DE EJUTLA DE CRESPO</t>
  </si>
  <si>
    <t>ELOXOCHITLÁN DE FLORES MAGÓN</t>
  </si>
  <si>
    <t>EL ESPINAL</t>
  </si>
  <si>
    <t>TAMAZULÁPAM DEL ESPÍRITU SANTO</t>
  </si>
  <si>
    <t>FRESNILLO DE TRUJANO</t>
  </si>
  <si>
    <t>GUADALUPE ETLA</t>
  </si>
  <si>
    <t>GUADALUPE DE RAMÍREZ</t>
  </si>
  <si>
    <t>GUELATAO DE JUÁREZ</t>
  </si>
  <si>
    <t>GUEVEA DE HUMBOLDT</t>
  </si>
  <si>
    <t>MESONES HIDALGO</t>
  </si>
  <si>
    <t>HEROICA CIUDAD DE HUAJUAPAN DE LEÓN</t>
  </si>
  <si>
    <t>HUAUTEPEC</t>
  </si>
  <si>
    <t>HUAUTLA DE JIMÉNEZ</t>
  </si>
  <si>
    <t>IXTLÁN DE JUÁREZ</t>
  </si>
  <si>
    <t>HEROICA CIUDAD DE JUCHITÁN DE ZARAGOZA</t>
  </si>
  <si>
    <t>LOMA BONITA</t>
  </si>
  <si>
    <t>MAGDALENA APASCO</t>
  </si>
  <si>
    <t>MAGDALENA JALTEPEC</t>
  </si>
  <si>
    <t>SANTA MAGDALENA JICOTLÁN</t>
  </si>
  <si>
    <t>MAGDALENA MIXTEPEC</t>
  </si>
  <si>
    <t>MAGDALENA OCOTLÁN</t>
  </si>
  <si>
    <t>MAGDALENA PEÑASCO</t>
  </si>
  <si>
    <t>MAGDALENA TEITIPAC</t>
  </si>
  <si>
    <t>MAGDALENA TEQUISISTLÁN</t>
  </si>
  <si>
    <t>MAGDALENA TLACOTEPEC</t>
  </si>
  <si>
    <t>MAGDALENA ZAHUATLÁN</t>
  </si>
  <si>
    <t>MARISCALA DE JUÁREZ</t>
  </si>
  <si>
    <t>MÁRTIRES DE TACUBAYA</t>
  </si>
  <si>
    <t>MATÍAS ROMERO AVENDAÑO</t>
  </si>
  <si>
    <t>MAZATLÁN VILLA DE FLORES</t>
  </si>
  <si>
    <t>MIAHUATLÁN DE PORFIRIO DÍAZ</t>
  </si>
  <si>
    <t>MIXISTLÁN DE LA REFORMA</t>
  </si>
  <si>
    <t>MONJAS</t>
  </si>
  <si>
    <t>NATIVIDAD</t>
  </si>
  <si>
    <t>NAZARENO ETLA</t>
  </si>
  <si>
    <t>NEJAPA DE MADERO</t>
  </si>
  <si>
    <t>IXPANTEPEC NIEVES</t>
  </si>
  <si>
    <t>SANTIAGO NILTEPEC</t>
  </si>
  <si>
    <t>OAXACA DE JUÁREZ</t>
  </si>
  <si>
    <t>OCOTLÁN DE MORELOS</t>
  </si>
  <si>
    <t>LA PE</t>
  </si>
  <si>
    <t>PINOTEPA DE DON LUIS</t>
  </si>
  <si>
    <t>PLUMA HIDALGO</t>
  </si>
  <si>
    <t>SAN JOSÉ DEL PROGRESO</t>
  </si>
  <si>
    <t>PUTLA VILLA DE GUERRERO</t>
  </si>
  <si>
    <t>SANTA CATARINA QUIOQUITANI</t>
  </si>
  <si>
    <t>REFORMA DE PINEDA</t>
  </si>
  <si>
    <t>LA REFORMA</t>
  </si>
  <si>
    <t>REYES ETLA</t>
  </si>
  <si>
    <t>ROJAS DE CUAUHTÉMOC</t>
  </si>
  <si>
    <t>SALINA CRUZ</t>
  </si>
  <si>
    <t>SAN AGUSTÍN AMATENGO</t>
  </si>
  <si>
    <t>SAN AGUSTÍN ATENANGO</t>
  </si>
  <si>
    <t>SAN AGUSTÍN CHAYUCO</t>
  </si>
  <si>
    <t>SAN AGUSTÍN DE LAS JUNTAS</t>
  </si>
  <si>
    <t>SAN AGUSTÍN ETLA</t>
  </si>
  <si>
    <t>SAN AGUSTÍN LOXICHA</t>
  </si>
  <si>
    <t>SAN AGUSTÍN TLACOTEPEC</t>
  </si>
  <si>
    <t>SAN AGUSTÍN YATARENI</t>
  </si>
  <si>
    <t>SAN ANDRÉS CABECERA NUEVA</t>
  </si>
  <si>
    <t>SAN ANDRÉS DINICUITI</t>
  </si>
  <si>
    <t>SAN ANDRÉS HUAXPALTEPEC</t>
  </si>
  <si>
    <t>SAN ANDRÉS HUAYÁPAM</t>
  </si>
  <si>
    <t>SAN ANDRÉS IXTLAHUACA</t>
  </si>
  <si>
    <t>SAN ANDRÉS LAGUNAS</t>
  </si>
  <si>
    <t>SAN ANDRÉS NUXIÑO</t>
  </si>
  <si>
    <t>SAN ANDRÉS PAXTLÁN</t>
  </si>
  <si>
    <t>SAN ANDRÉS SINAXTLA</t>
  </si>
  <si>
    <t>SAN ANDRÉS SOLAGA</t>
  </si>
  <si>
    <t>SAN ANDRÉS TEOTILÁLPAM</t>
  </si>
  <si>
    <t>SAN ANDRÉS TEPETLAPA</t>
  </si>
  <si>
    <t>SAN ANDRÉS YAÁ</t>
  </si>
  <si>
    <t>SAN ANDRÉS ZABACHE</t>
  </si>
  <si>
    <t>SAN ANDRÉS ZAUTLA</t>
  </si>
  <si>
    <t>SAN ANTONINO CASTILLO VELASCO</t>
  </si>
  <si>
    <t>SAN ANTONINO EL ALTO</t>
  </si>
  <si>
    <t>SAN ANTONINO MONTE VERDE</t>
  </si>
  <si>
    <t>SAN ANTONIO ACUTLA</t>
  </si>
  <si>
    <t>SAN ANTONIO DE LA CAL</t>
  </si>
  <si>
    <t>SAN ANTONIO HUITEPEC</t>
  </si>
  <si>
    <t>SAN ANTONIO NANAHUATÍPAM</t>
  </si>
  <si>
    <t>SAN ANTONIO SINICAHUA</t>
  </si>
  <si>
    <t>SAN ANTONIO TEPETLAPA</t>
  </si>
  <si>
    <t>SAN BALTAZAR CHICHICÁPAM</t>
  </si>
  <si>
    <t>SAN BALTAZAR LOXICHA</t>
  </si>
  <si>
    <t>SAN BALTAZAR YATZACHI EL BAJO</t>
  </si>
  <si>
    <t>SAN BARTOLO COYOTEPEC</t>
  </si>
  <si>
    <t>SAN BARTOLOMÉ AYAUTLA</t>
  </si>
  <si>
    <t>SAN BARTOLOMÉ LOXICHA</t>
  </si>
  <si>
    <t>SAN BARTOLOMÉ QUIALANA</t>
  </si>
  <si>
    <t>SAN BARTOLOMÉ YUCUAÑE</t>
  </si>
  <si>
    <t>SAN BARTOLOMÉ ZOOGOCHO</t>
  </si>
  <si>
    <t>SAN BARTOLO SOYALTEPEC</t>
  </si>
  <si>
    <t>SAN BARTOLO YAUTEPEC</t>
  </si>
  <si>
    <t>SAN BERNARDO MIXTEPEC</t>
  </si>
  <si>
    <t>SAN BLAS ATEMPA</t>
  </si>
  <si>
    <t>SAN CARLOS YAUTEPEC</t>
  </si>
  <si>
    <t>SAN CRISTÓBAL AMATLÁN</t>
  </si>
  <si>
    <t>SAN CRISTÓBAL AMOLTEPEC</t>
  </si>
  <si>
    <t>SAN CRISTÓBAL LACHIRIOAG</t>
  </si>
  <si>
    <t>SAN CRISTÓBAL SUCHIXTLAHUACA</t>
  </si>
  <si>
    <t>SAN DIONISIO DEL MAR</t>
  </si>
  <si>
    <t>SAN DIONISIO OCOTEPEC</t>
  </si>
  <si>
    <t>SAN DIONISIO OCOTLÁN</t>
  </si>
  <si>
    <t>SAN ESTEBAN ATATLAHUCA</t>
  </si>
  <si>
    <t>SAN FELIPE JALAPA DE DÍAZ</t>
  </si>
  <si>
    <t>SAN FELIPE TEJALÁPAM</t>
  </si>
  <si>
    <t>SAN FELIPE USILA</t>
  </si>
  <si>
    <t>SAN FRANCISCO CAHUACUÁ</t>
  </si>
  <si>
    <t>SAN FRANCISCO CAJONOS</t>
  </si>
  <si>
    <t>SAN FRANCISCO CHAPULAPA</t>
  </si>
  <si>
    <t>SAN FRANCISCO CHINDÚA</t>
  </si>
  <si>
    <t>SAN FRANCISCO DEL MAR</t>
  </si>
  <si>
    <t>SAN FRANCISCO HUEHUETLÁN</t>
  </si>
  <si>
    <t>SAN FRANCISCO IXHUATÁN</t>
  </si>
  <si>
    <t>SAN FRANCISCO JALTEPETONGO</t>
  </si>
  <si>
    <t>SAN FRANCISCO LACHIGOLÓ</t>
  </si>
  <si>
    <t>SAN FRANCISCO LOGUECHE</t>
  </si>
  <si>
    <t>SAN FRANCISCO NUXAÑO</t>
  </si>
  <si>
    <t>SAN FRANCISCO OZOLOTEPEC</t>
  </si>
  <si>
    <t>SAN FRANCISCO SOLA</t>
  </si>
  <si>
    <t>SAN FRANCISCO TELIXTLAHUACA</t>
  </si>
  <si>
    <t>SAN FRANCISCO TEOPAN</t>
  </si>
  <si>
    <t>SAN FRANCISCO TLAPANCINGO</t>
  </si>
  <si>
    <t>SAN GABRIEL MIXTEPEC</t>
  </si>
  <si>
    <t>SAN ILDEFONSO AMATLÁN</t>
  </si>
  <si>
    <t>SAN ILDEFONSO SOLA</t>
  </si>
  <si>
    <t>SAN ILDEFONSO VILLA ALTA</t>
  </si>
  <si>
    <t>SAN JACINTO AMILPAS</t>
  </si>
  <si>
    <t>SAN JACINTO TLACOTEPEC</t>
  </si>
  <si>
    <t>SAN JERÓNIMO COATLÁN</t>
  </si>
  <si>
    <t>SAN JERÓNIMO SILACAYOAPILLA</t>
  </si>
  <si>
    <t>SAN JERÓNIMO SOSOLA</t>
  </si>
  <si>
    <t>SAN JERÓNIMO TAVICHE</t>
  </si>
  <si>
    <t>SAN JERÓNIMO TECÓATL</t>
  </si>
  <si>
    <t>SAN JORGE NUCHITA</t>
  </si>
  <si>
    <t>SAN JOSÉ AYUQUILA</t>
  </si>
  <si>
    <t>SAN JOSÉ CHILTEPEC</t>
  </si>
  <si>
    <t>SAN JOSÉ DEL PEÑASCO</t>
  </si>
  <si>
    <t>SAN JOSÉ ESTANCIA GRANDE</t>
  </si>
  <si>
    <t>SAN JOSÉ INDEPENDENCIA</t>
  </si>
  <si>
    <t>SAN JOSÉ LACHIGUIRI</t>
  </si>
  <si>
    <t>SAN JOSÉ TENANGO</t>
  </si>
  <si>
    <t>SAN JUAN ACHIUTLA</t>
  </si>
  <si>
    <t>SAN JUAN ATEPEC</t>
  </si>
  <si>
    <t>ÁNIMAS TRUJANO</t>
  </si>
  <si>
    <t>SAN JUAN BAUTISTA ATATLAHUCA</t>
  </si>
  <si>
    <t>SAN JUAN BAUTISTA COIXTLAHUACA</t>
  </si>
  <si>
    <t>SAN JUAN BAUTISTA CUICATLÁN</t>
  </si>
  <si>
    <t>SAN JUAN BAUTISTA GUELACHE</t>
  </si>
  <si>
    <t>SAN JUAN BAUTISTA JAYACATLÁN</t>
  </si>
  <si>
    <t>SAN JUAN BAUTISTA LO DE SOTO</t>
  </si>
  <si>
    <t>SAN JUAN BAUTISTA SUCHITEPEC</t>
  </si>
  <si>
    <t>SAN JUAN BAUTISTA TLACOATZINTEPEC</t>
  </si>
  <si>
    <t>SAN JUAN BAUTISTA TLACHICHILCO</t>
  </si>
  <si>
    <t>SAN JUAN BAUTISTA TUXTEPEC</t>
  </si>
  <si>
    <t>SAN JUAN CACAHUATEPEC</t>
  </si>
  <si>
    <t>SAN JUAN CIENEGUILLA</t>
  </si>
  <si>
    <t>SAN JUAN COATZÓSPAM</t>
  </si>
  <si>
    <t>SAN JUAN COLORADO</t>
  </si>
  <si>
    <t>SAN JUAN COMALTEPEC</t>
  </si>
  <si>
    <t>SAN JUAN COTZOCÓN</t>
  </si>
  <si>
    <t>SAN JUAN CHICOMEZÚCHIL</t>
  </si>
  <si>
    <t>SAN JUAN CHILATECA</t>
  </si>
  <si>
    <t>SAN JUAN DEL ESTADO</t>
  </si>
  <si>
    <t>SAN JUAN DIUXI</t>
  </si>
  <si>
    <t>SAN JUAN EVANGELISTA ANALCO</t>
  </si>
  <si>
    <t>SAN JUAN GUELAVÍA</t>
  </si>
  <si>
    <t>SAN JUAN GUICHICOVI</t>
  </si>
  <si>
    <t>SAN JUAN IHUALTEPEC</t>
  </si>
  <si>
    <t>SAN JUAN JUQUILA MIXES</t>
  </si>
  <si>
    <t>SAN JUAN JUQUILA VIJANOS</t>
  </si>
  <si>
    <t>SAN JUAN LACHAO</t>
  </si>
  <si>
    <t>SAN JUAN LACHIGALLA</t>
  </si>
  <si>
    <t>SAN JUAN LAJARCIA</t>
  </si>
  <si>
    <t>SAN JUAN LALANA</t>
  </si>
  <si>
    <t>SAN JUAN DE LOS CUÉS</t>
  </si>
  <si>
    <t>SAN JUAN MAZATLÁN</t>
  </si>
  <si>
    <t>SAN JUAN MIXTEPEC</t>
  </si>
  <si>
    <t>SAN JUAN ÑUMÍ</t>
  </si>
  <si>
    <t>SAN JUAN OZOLOTEPEC</t>
  </si>
  <si>
    <t>SAN JUAN PETLAPA</t>
  </si>
  <si>
    <t>SAN JUAN QUIAHIJE</t>
  </si>
  <si>
    <t>SAN JUAN QUIOTEPEC</t>
  </si>
  <si>
    <t>SAN JUAN SAYULTEPEC</t>
  </si>
  <si>
    <t>SAN JUAN TABAÁ</t>
  </si>
  <si>
    <t>SAN JUAN TAMAZOLA</t>
  </si>
  <si>
    <t>SAN JUAN TEITA</t>
  </si>
  <si>
    <t>SAN JUAN TEITIPAC</t>
  </si>
  <si>
    <t>SAN JUAN TEPEUXILA</t>
  </si>
  <si>
    <t>SAN JUAN TEPOSCOLULA</t>
  </si>
  <si>
    <t>SAN JUAN YAEÉ</t>
  </si>
  <si>
    <t>SAN JUAN YATZONA</t>
  </si>
  <si>
    <t>SAN JUAN YUCUITA</t>
  </si>
  <si>
    <t>SAN LORENZO</t>
  </si>
  <si>
    <t>SAN LORENZO ALBARRADAS</t>
  </si>
  <si>
    <t>SAN LORENZO CACAOTEPEC</t>
  </si>
  <si>
    <t>SAN LORENZO CUAUNECUILTITLA</t>
  </si>
  <si>
    <t>SAN LORENZO TEXMELÚCAN</t>
  </si>
  <si>
    <t>SAN LORENZO VICTORIA</t>
  </si>
  <si>
    <t>SAN LUCAS CAMOTLÁN</t>
  </si>
  <si>
    <t>SAN LUCAS OJITLÁN</t>
  </si>
  <si>
    <t>SAN LUCAS QUIAVINÍ</t>
  </si>
  <si>
    <t>SAN LUCAS ZOQUIÁPAM</t>
  </si>
  <si>
    <t>SAN LUIS AMATLÁN</t>
  </si>
  <si>
    <t>SAN MARCIAL OZOLOTEPEC</t>
  </si>
  <si>
    <t>SAN MARCOS ARTEAGA</t>
  </si>
  <si>
    <t>SAN MARTÍN DE LOS CANSECOS</t>
  </si>
  <si>
    <t>SAN MARTÍN HUAMELÚLPAM</t>
  </si>
  <si>
    <t>SAN MARTÍN ITUNYOSO</t>
  </si>
  <si>
    <t>SAN MARTÍN LACHILÁ</t>
  </si>
  <si>
    <t>SAN MARTÍN PERAS</t>
  </si>
  <si>
    <t>SAN MARTÍN TILCAJETE</t>
  </si>
  <si>
    <t>SAN MARTÍN TOXPALAN</t>
  </si>
  <si>
    <t>SAN MARTÍN ZACATEPEC</t>
  </si>
  <si>
    <t>SAN MATEO CAJONOS</t>
  </si>
  <si>
    <t>CAPULÁLPAM DE MÉNDEZ</t>
  </si>
  <si>
    <t>SAN MATEO DEL MAR</t>
  </si>
  <si>
    <t>SAN MATEO YOLOXOCHITLÁN</t>
  </si>
  <si>
    <t>SAN MATEO ETLATONGO</t>
  </si>
  <si>
    <t>SAN MATEO NEJÁPAM</t>
  </si>
  <si>
    <t>SAN MATEO PEÑASCO</t>
  </si>
  <si>
    <t>SAN MATEO PIÑAS</t>
  </si>
  <si>
    <t>SAN MATEO RÍO HONDO</t>
  </si>
  <si>
    <t>SAN MATEO SINDIHUI</t>
  </si>
  <si>
    <t>SAN MATEO TLAPILTEPEC</t>
  </si>
  <si>
    <t>SAN MELCHOR BETAZA</t>
  </si>
  <si>
    <t>SAN MIGUEL ACHIUTLA</t>
  </si>
  <si>
    <t>SAN MIGUEL AHUEHUETITLÁN</t>
  </si>
  <si>
    <t>SAN MIGUEL ALOÁPAM</t>
  </si>
  <si>
    <t>SAN MIGUEL AMATITLÁN</t>
  </si>
  <si>
    <t>SAN MIGUEL AMATLÁN</t>
  </si>
  <si>
    <t>SAN MIGUEL COATLÁN</t>
  </si>
  <si>
    <t>SAN MIGUEL CHICAHUA</t>
  </si>
  <si>
    <t>SAN MIGUEL CHIMALAPA</t>
  </si>
  <si>
    <t>SAN MIGUEL DEL PUERTO</t>
  </si>
  <si>
    <t>SAN MIGUEL DEL RÍO</t>
  </si>
  <si>
    <t>SAN MIGUEL EJUTLA</t>
  </si>
  <si>
    <t>SAN MIGUEL EL GRANDE</t>
  </si>
  <si>
    <t>SAN MIGUEL HUAUTLA</t>
  </si>
  <si>
    <t>SAN MIGUEL MIXTEPEC</t>
  </si>
  <si>
    <t>SAN MIGUEL PANIXTLAHUACA</t>
  </si>
  <si>
    <t>SAN MIGUEL PERAS</t>
  </si>
  <si>
    <t>SAN MIGUEL PIEDRAS</t>
  </si>
  <si>
    <t>SAN MIGUEL QUETZALTEPEC</t>
  </si>
  <si>
    <t>SAN MIGUEL SANTA FLOR</t>
  </si>
  <si>
    <t>VILLA SOLA DE VEGA</t>
  </si>
  <si>
    <t>SAN MIGUEL SOYALTEPEC</t>
  </si>
  <si>
    <t>SAN MIGUEL SUCHIXTEPEC</t>
  </si>
  <si>
    <t>VILLA TALEA DE CASTRO</t>
  </si>
  <si>
    <t>SAN MIGUEL TECOMATLÁN</t>
  </si>
  <si>
    <t>SAN MIGUEL TENANGO</t>
  </si>
  <si>
    <t>SAN MIGUEL TEQUIXTEPEC</t>
  </si>
  <si>
    <t>SAN MIGUEL TILQUIÁPAM</t>
  </si>
  <si>
    <t>SAN MIGUEL TLACAMAMA</t>
  </si>
  <si>
    <t>SAN MIGUEL TLACOTEPEC</t>
  </si>
  <si>
    <t>SAN MIGUEL TULANCINGO</t>
  </si>
  <si>
    <t>SAN MIGUEL YOTAO</t>
  </si>
  <si>
    <t>SAN NICOLÁS</t>
  </si>
  <si>
    <t>SAN NICOLÁS HIDALGO</t>
  </si>
  <si>
    <t>SAN PABLO COATLÁN</t>
  </si>
  <si>
    <t>SAN PABLO CUATRO VENADOS</t>
  </si>
  <si>
    <t>SAN PABLO ETLA</t>
  </si>
  <si>
    <t>SAN PABLO HUITZO</t>
  </si>
  <si>
    <t>SAN PABLO HUIXTEPEC</t>
  </si>
  <si>
    <t>SAN PABLO MACUILTIANGUIS</t>
  </si>
  <si>
    <t>SAN PABLO TIJALTEPEC</t>
  </si>
  <si>
    <t>SAN PABLO VILLA DE MITLA</t>
  </si>
  <si>
    <t>SAN PABLO YAGANIZA</t>
  </si>
  <si>
    <t>SAN PEDRO AMUZGOS</t>
  </si>
  <si>
    <t>SAN PEDRO APÓSTOL</t>
  </si>
  <si>
    <t>SAN PEDRO ATOYAC</t>
  </si>
  <si>
    <t>SAN PEDRO CAJONOS</t>
  </si>
  <si>
    <t>SAN PEDRO COXCALTEPEC CÁNTAROS</t>
  </si>
  <si>
    <t>SAN PEDRO COMITANCILLO</t>
  </si>
  <si>
    <t>SAN PEDRO EL ALTO</t>
  </si>
  <si>
    <t>SAN PEDRO HUAMELULA</t>
  </si>
  <si>
    <t>SAN PEDRO HUILOTEPEC</t>
  </si>
  <si>
    <t>SAN PEDRO IXCATLÁN</t>
  </si>
  <si>
    <t>SAN PEDRO IXTLAHUACA</t>
  </si>
  <si>
    <t>SAN PEDRO JALTEPETONGO</t>
  </si>
  <si>
    <t>SAN PEDRO JICAYÁN</t>
  </si>
  <si>
    <t>SAN PEDRO JOCOTIPAC</t>
  </si>
  <si>
    <t>SAN PEDRO JUCHATENGO</t>
  </si>
  <si>
    <t>SAN PEDRO MÁRTIR</t>
  </si>
  <si>
    <t>SAN PEDRO MÁRTIR QUIECHAPA</t>
  </si>
  <si>
    <t>SAN PEDRO MÁRTIR YUCUXACO</t>
  </si>
  <si>
    <t>SAN PEDRO MIXTEPEC</t>
  </si>
  <si>
    <t>SAN PEDRO MOLINOS</t>
  </si>
  <si>
    <t>SAN PEDRO NOPALA</t>
  </si>
  <si>
    <t>SAN PEDRO OCOPETATILLO</t>
  </si>
  <si>
    <t>SAN PEDRO OCOTEPEC</t>
  </si>
  <si>
    <t>SAN PEDRO POCHUTLA</t>
  </si>
  <si>
    <t>SAN PEDRO QUIATONI</t>
  </si>
  <si>
    <t>SAN PEDRO SOCHIÁPAM</t>
  </si>
  <si>
    <t>SAN PEDRO TAPANATEPEC</t>
  </si>
  <si>
    <t>SAN PEDRO TAVICHE</t>
  </si>
  <si>
    <t>SAN PEDRO TEOZACOALCO</t>
  </si>
  <si>
    <t>SAN PEDRO TEUTILA</t>
  </si>
  <si>
    <t>SAN PEDRO TIDAÁ</t>
  </si>
  <si>
    <t>SAN PEDRO TOPILTEPEC</t>
  </si>
  <si>
    <t>SAN PEDRO TOTOLÁPAM</t>
  </si>
  <si>
    <t>VILLA DE TUTUTEPEC</t>
  </si>
  <si>
    <t>SAN PEDRO YANERI</t>
  </si>
  <si>
    <t>SAN PEDRO YÓLOX</t>
  </si>
  <si>
    <t>SAN PEDRO Y SAN PABLO AYUTLA</t>
  </si>
  <si>
    <t>VILLA DE ETLA</t>
  </si>
  <si>
    <t>SAN PEDRO Y SAN PABLO TEPOSCOLULA</t>
  </si>
  <si>
    <t>SAN PEDRO Y SAN PABLO TEQUIXTEPEC</t>
  </si>
  <si>
    <t>SAN PEDRO YUCUNAMA</t>
  </si>
  <si>
    <t>SAN RAYMUNDO JALPAN</t>
  </si>
  <si>
    <t>SAN SEBASTIÁN ABASOLO</t>
  </si>
  <si>
    <t>SAN SEBASTIÁN COATLÁN</t>
  </si>
  <si>
    <t>SAN SEBASTIÁN IXCAPA</t>
  </si>
  <si>
    <t>SAN SEBASTIÁN NICANANDUTA</t>
  </si>
  <si>
    <t>SAN SEBASTIÁN RÍO HONDO</t>
  </si>
  <si>
    <t>SAN SEBASTIÁN TECOMAXTLAHUACA</t>
  </si>
  <si>
    <t>SAN SEBASTIÁN TEITIPAC</t>
  </si>
  <si>
    <t>SAN SEBASTIÁN TUTLA</t>
  </si>
  <si>
    <t>SAN SIMÓN ALMOLONGAS</t>
  </si>
  <si>
    <t>SAN SIMÓN ZAHUATLÁN</t>
  </si>
  <si>
    <t>SANTA ANA</t>
  </si>
  <si>
    <t>SANTA ANA ATEIXTLAHUACA</t>
  </si>
  <si>
    <t>SANTA ANA CUAUHTÉMOC</t>
  </si>
  <si>
    <t>SANTA ANA DEL VALLE</t>
  </si>
  <si>
    <t>SANTA ANA TAVELA</t>
  </si>
  <si>
    <t>SANTA ANA TLAPACOYAN</t>
  </si>
  <si>
    <t>SANTA ANA YARENI</t>
  </si>
  <si>
    <t>SANTA ANA ZEGACHE</t>
  </si>
  <si>
    <t>SANTA CATALINA QUIERÍ</t>
  </si>
  <si>
    <t>SANTA CATARINA CUIXTLA</t>
  </si>
  <si>
    <t>SANTA CATARINA IXTEPEJI</t>
  </si>
  <si>
    <t>SANTA CATARINA JUQUILA</t>
  </si>
  <si>
    <t>SANTA CATARINA LACHATAO</t>
  </si>
  <si>
    <t>SANTA CATARINA LOXICHA</t>
  </si>
  <si>
    <t>SANTA CATARINA MECHOACÁN</t>
  </si>
  <si>
    <t>SANTA CATARINA MINAS</t>
  </si>
  <si>
    <t>SANTA CATARINA QUIANÉ</t>
  </si>
  <si>
    <t>SANTA CATARINA TAYATA</t>
  </si>
  <si>
    <t>SANTA CATARINA TICUÁ</t>
  </si>
  <si>
    <t>SANTA CATARINA YOSONOTÚ</t>
  </si>
  <si>
    <t>SANTA CATARINA ZAPOQUILA</t>
  </si>
  <si>
    <t>SANTA CRUZ ACATEPEC</t>
  </si>
  <si>
    <t>SANTA CRUZ AMILPAS</t>
  </si>
  <si>
    <t>SANTA CRUZ DE BRAVO</t>
  </si>
  <si>
    <t>SANTA CRUZ ITUNDUJIA</t>
  </si>
  <si>
    <t>SANTA CRUZ MIXTEPEC</t>
  </si>
  <si>
    <t>SANTA CRUZ NUNDACO</t>
  </si>
  <si>
    <t>SANTA CRUZ PAPALUTLA</t>
  </si>
  <si>
    <t>SANTA CRUZ TACACHE DE MINA</t>
  </si>
  <si>
    <t>SANTA CRUZ TACAHUA</t>
  </si>
  <si>
    <t>SANTA CRUZ TAYATA</t>
  </si>
  <si>
    <t>SANTA CRUZ XITLA</t>
  </si>
  <si>
    <t>SANTA CRUZ XOXOCOTLÁN</t>
  </si>
  <si>
    <t>SANTA CRUZ ZENZONTEPEC</t>
  </si>
  <si>
    <t>SANTA GERTRUDIS</t>
  </si>
  <si>
    <t>SANTA INÉS DEL MONTE</t>
  </si>
  <si>
    <t>SANTA INÉS YATZECHE</t>
  </si>
  <si>
    <t>SANTA LUCÍA DEL CAMINO</t>
  </si>
  <si>
    <t>SANTA LUCÍA MIAHUATLÁN</t>
  </si>
  <si>
    <t>SANTA LUCÍA MONTEVERDE</t>
  </si>
  <si>
    <t>SANTA LUCÍA OCOTLÁN</t>
  </si>
  <si>
    <t>SANTA MARÍA ALOTEPEC</t>
  </si>
  <si>
    <t>SANTA MARÍA APAZCO</t>
  </si>
  <si>
    <t>SANTA MARÍA LA ASUNCIÓN</t>
  </si>
  <si>
    <t>HEROICA CIUDAD DE TLAXIACO</t>
  </si>
  <si>
    <t>AYOQUEZCO DE ALDAMA</t>
  </si>
  <si>
    <t>SANTA MARÍA ATZOMPA</t>
  </si>
  <si>
    <t>SANTA MARÍA CAMOTLÁN</t>
  </si>
  <si>
    <t>SANTA MARÍA COLOTEPEC</t>
  </si>
  <si>
    <t>SANTA MARÍA CORTIJO</t>
  </si>
  <si>
    <t>SANTA MARÍA COYOTEPEC</t>
  </si>
  <si>
    <t>SANTA MARÍA CHACHOÁPAM</t>
  </si>
  <si>
    <t>VILLA DE CHILAPA DE DÍAZ</t>
  </si>
  <si>
    <t>SANTA MARÍA CHILCHOTLA</t>
  </si>
  <si>
    <t>SANTA MARÍA CHIMALAPA</t>
  </si>
  <si>
    <t>SANTA MARÍA DEL ROSARIO</t>
  </si>
  <si>
    <t>SANTA MARÍA DEL TULE</t>
  </si>
  <si>
    <t>SANTA MARÍA ECATEPEC</t>
  </si>
  <si>
    <t>SANTA MARÍA GUELACÉ</t>
  </si>
  <si>
    <t>SANTA MARÍA GUIENAGATI</t>
  </si>
  <si>
    <t>SANTA MARÍA HUATULCO</t>
  </si>
  <si>
    <t>SANTA MARÍA HUAZOLOTITLÁN</t>
  </si>
  <si>
    <t>SANTA MARÍA IPALAPA</t>
  </si>
  <si>
    <t>SANTA MARÍA IXCATLÁN</t>
  </si>
  <si>
    <t>SANTA MARÍA JACATEPEC</t>
  </si>
  <si>
    <t>SANTA MARÍA JALAPA DEL MARQUÉS</t>
  </si>
  <si>
    <t>SANTA MARÍA JALTIANGUIS</t>
  </si>
  <si>
    <t>SANTA MARÍA LACHIXÍO</t>
  </si>
  <si>
    <t>SANTA MARÍA MIXTEQUILLA</t>
  </si>
  <si>
    <t>SANTA MARÍA NATIVITAS</t>
  </si>
  <si>
    <t>SANTA MARÍA NDUAYACO</t>
  </si>
  <si>
    <t>SANTA MARÍA OZOLOTEPEC</t>
  </si>
  <si>
    <t>SANTA MARÍA PÁPALO</t>
  </si>
  <si>
    <t>SANTA MARÍA PEÑOLES</t>
  </si>
  <si>
    <t>SANTA MARÍA PETAPA</t>
  </si>
  <si>
    <t>SANTA MARÍA QUIEGOLANI</t>
  </si>
  <si>
    <t>SANTA MARÍA SOLA</t>
  </si>
  <si>
    <t>SANTA MARÍA TATALTEPEC</t>
  </si>
  <si>
    <t>SANTA MARÍA TECOMAVACA</t>
  </si>
  <si>
    <t>SANTA MARÍA TEMAXCALAPA</t>
  </si>
  <si>
    <t>SANTA MARÍA TEMAXCALTEPEC</t>
  </si>
  <si>
    <t>SANTA MARÍA TEOPOXCO</t>
  </si>
  <si>
    <t>SANTA MARÍA TEPANTLALI</t>
  </si>
  <si>
    <t>SANTA MARÍA TEXCATITLÁN</t>
  </si>
  <si>
    <t>SANTA MARÍA TLAHUITOLTEPEC</t>
  </si>
  <si>
    <t>SANTA MARÍA TLALIXTAC</t>
  </si>
  <si>
    <t>SANTA MARÍA TONAMECA</t>
  </si>
  <si>
    <t>SANTA MARÍA TOTOLAPILLA</t>
  </si>
  <si>
    <t>SANTA MARÍA XADANI</t>
  </si>
  <si>
    <t>SANTA MARÍA YALINA</t>
  </si>
  <si>
    <t>SANTA MARÍA YAVESÍA</t>
  </si>
  <si>
    <t>SANTA MARÍA YOLOTEPEC</t>
  </si>
  <si>
    <t>SANTA MARÍA YOSOYÚA</t>
  </si>
  <si>
    <t>SANTA MARÍA YUCUHITI</t>
  </si>
  <si>
    <t>SANTA MARÍA ZACATEPEC</t>
  </si>
  <si>
    <t>SANTA MARÍA ZANIZA</t>
  </si>
  <si>
    <t>SANTA MARÍA ZOQUITLÁN</t>
  </si>
  <si>
    <t>SANTIAGO AMOLTEPEC</t>
  </si>
  <si>
    <t>SANTIAGO APOALA</t>
  </si>
  <si>
    <t>SANTIAGO APÓSTOL</t>
  </si>
  <si>
    <t>SANTIAGO ASTATA</t>
  </si>
  <si>
    <t>SANTIAGO ATITLÁN</t>
  </si>
  <si>
    <t>SANTIAGO AYUQUILILLA</t>
  </si>
  <si>
    <t>SANTIAGO CACALOXTEPEC</t>
  </si>
  <si>
    <t>SANTIAGO CAMOTLÁN</t>
  </si>
  <si>
    <t>SANTIAGO COMALTEPEC</t>
  </si>
  <si>
    <t>SANTIAGO CHAZUMBA</t>
  </si>
  <si>
    <t>SANTIAGO CHOÁPAM</t>
  </si>
  <si>
    <t>SANTIAGO DEL RÍO</t>
  </si>
  <si>
    <t>SANTIAGO HUAJOLOTITLÁN</t>
  </si>
  <si>
    <t>SANTIAGO HUAUCLILLA</t>
  </si>
  <si>
    <t>SANTIAGO IHUITLÁN PLUMAS</t>
  </si>
  <si>
    <t>SANTIAGO IXCUINTEPEC</t>
  </si>
  <si>
    <t>SANTIAGO IXTAYUTLA</t>
  </si>
  <si>
    <t>SANTIAGO JAMILTEPEC</t>
  </si>
  <si>
    <t>SANTIAGO JOCOTEPEC</t>
  </si>
  <si>
    <t>SANTIAGO JUXTLAHUACA</t>
  </si>
  <si>
    <t>SANTIAGO LACHIGUIRI</t>
  </si>
  <si>
    <t>SANTIAGO LALOPA</t>
  </si>
  <si>
    <t>SANTIAGO LAOLLAGA</t>
  </si>
  <si>
    <t>SANTIAGO LAXOPA</t>
  </si>
  <si>
    <t>SANTIAGO LLANO GRANDE</t>
  </si>
  <si>
    <t>SANTIAGO MATATLÁN</t>
  </si>
  <si>
    <t>SANTIAGO MILTEPEC</t>
  </si>
  <si>
    <t>SANTIAGO MINAS</t>
  </si>
  <si>
    <t>SANTIAGO NACALTEPEC</t>
  </si>
  <si>
    <t>SANTIAGO NEJAPILLA</t>
  </si>
  <si>
    <t>SANTIAGO NUNDICHE</t>
  </si>
  <si>
    <t>SANTIAGO NUYOÓ</t>
  </si>
  <si>
    <t>SANTIAGO PINOTEPA NACIONAL</t>
  </si>
  <si>
    <t>SANTIAGO SUCHILQUITONGO</t>
  </si>
  <si>
    <t>SANTIAGO TAMAZOLA</t>
  </si>
  <si>
    <t>SANTIAGO TAPEXTLA</t>
  </si>
  <si>
    <t>VILLA TEJÚPAM DE LA UNIÓN</t>
  </si>
  <si>
    <t>SANTIAGO TENANGO</t>
  </si>
  <si>
    <t>SANTIAGO TEPETLAPA</t>
  </si>
  <si>
    <t>SANTIAGO TETEPEC</t>
  </si>
  <si>
    <t>SANTIAGO TEXCALCINGO</t>
  </si>
  <si>
    <t>SANTIAGO TEXTITLÁN</t>
  </si>
  <si>
    <t>SANTIAGO TILANTONGO</t>
  </si>
  <si>
    <t>SANTIAGO TILLO</t>
  </si>
  <si>
    <t>SANTIAGO TLAZOYALTEPEC</t>
  </si>
  <si>
    <t>SANTIAGO XANICA</t>
  </si>
  <si>
    <t>SANTIAGO XIACUÍ</t>
  </si>
  <si>
    <t>SANTIAGO YAITEPEC</t>
  </si>
  <si>
    <t>SANTIAGO YAVEO</t>
  </si>
  <si>
    <t>SANTIAGO YOLOMÉCATL</t>
  </si>
  <si>
    <t>SANTIAGO YOSONDÚA</t>
  </si>
  <si>
    <t>SANTIAGO YUCUYACHI</t>
  </si>
  <si>
    <t>SANTIAGO ZACATEPEC</t>
  </si>
  <si>
    <t>SANTIAGO ZOOCHILA</t>
  </si>
  <si>
    <t>NUEVO ZOQUIÁPAM</t>
  </si>
  <si>
    <t>SANTO DOMINGO INGENIO</t>
  </si>
  <si>
    <t>SANTO DOMINGO ALBARRADAS</t>
  </si>
  <si>
    <t>SANTO DOMINGO ARMENTA</t>
  </si>
  <si>
    <t>SANTO DOMINGO CHIHUITÁN</t>
  </si>
  <si>
    <t>SANTO DOMINGO DE MORELOS</t>
  </si>
  <si>
    <t>SANTO DOMINGO IXCATLÁN</t>
  </si>
  <si>
    <t>SANTO DOMINGO NUXAÁ</t>
  </si>
  <si>
    <t>SANTO DOMINGO OZOLOTEPEC</t>
  </si>
  <si>
    <t>SANTO DOMINGO PETAPA</t>
  </si>
  <si>
    <t>SANTO DOMINGO ROAYAGA</t>
  </si>
  <si>
    <t>SANTO DOMINGO TEHUANTEPEC</t>
  </si>
  <si>
    <t>SANTO DOMINGO TEOJOMULCO</t>
  </si>
  <si>
    <t>SANTO DOMINGO TEPUXTEPEC</t>
  </si>
  <si>
    <t>SANTO DOMINGO TLATAYÁPAM</t>
  </si>
  <si>
    <t>SANTO DOMINGO TOMALTEPEC</t>
  </si>
  <si>
    <t>SANTO DOMINGO TONALÁ</t>
  </si>
  <si>
    <t>SANTO DOMINGO TONALTEPEC</t>
  </si>
  <si>
    <t>SANTO DOMINGO XAGACÍA</t>
  </si>
  <si>
    <t>SANTO DOMINGO YANHUITLÁN</t>
  </si>
  <si>
    <t>SANTO DOMINGO YODOHINO</t>
  </si>
  <si>
    <t>SANTO DOMINGO ZANATEPEC</t>
  </si>
  <si>
    <t>SANTOS REYES NOPALA</t>
  </si>
  <si>
    <t>SANTOS REYES PÁPALO</t>
  </si>
  <si>
    <t>SANTOS REYES TEPEJILLO</t>
  </si>
  <si>
    <t>SANTOS REYES YUCUNÁ</t>
  </si>
  <si>
    <t>SANTO TOMÁS JALIEZA</t>
  </si>
  <si>
    <t>SANTO TOMÁS MAZALTEPEC</t>
  </si>
  <si>
    <t>SANTO TOMÁS OCOTEPEC</t>
  </si>
  <si>
    <t>SANTO TOMÁS TAMAZULAPAN</t>
  </si>
  <si>
    <t>SAN VICENTE COATLÁN</t>
  </si>
  <si>
    <t>SAN VICENTE LACHIXÍO</t>
  </si>
  <si>
    <t>SAN VICENTE NUÑÚ</t>
  </si>
  <si>
    <t>SILACAYOÁPAM</t>
  </si>
  <si>
    <t>SITIO DE XITLAPEHUA</t>
  </si>
  <si>
    <t>SOLEDAD ETLA</t>
  </si>
  <si>
    <t>VILLA DE TAMAZULÁPAM DEL PROGRESO</t>
  </si>
  <si>
    <t>TANETZE DE ZARAGOZA</t>
  </si>
  <si>
    <t>TANICHE</t>
  </si>
  <si>
    <t>TATALTEPEC DE VALDÉS</t>
  </si>
  <si>
    <t>TEOCOCUILCO DE MARCOS PÉREZ</t>
  </si>
  <si>
    <t>TEOTITLÁN DE FLORES MAGÓN</t>
  </si>
  <si>
    <t>TEOTITLÁN DEL VALLE</t>
  </si>
  <si>
    <t>TEOTONGO</t>
  </si>
  <si>
    <t>TEPELMEME VILLA DE MORELOS</t>
  </si>
  <si>
    <t>VILLA TEZOATLÁN DE SEGURA Y LUNA</t>
  </si>
  <si>
    <t>SAN JERÓNIMO TLACOCHAHUAYA</t>
  </si>
  <si>
    <t>TLACOLULA DE MATAMOROS</t>
  </si>
  <si>
    <t>TLACOTEPEC PLUMAS</t>
  </si>
  <si>
    <t>TLALIXTAC DE CABRERA</t>
  </si>
  <si>
    <t>TOTONTEPEC VILLA DE MORELOS</t>
  </si>
  <si>
    <t>TRINIDAD ZAACHILA</t>
  </si>
  <si>
    <t>LA TRINIDAD VISTA HERMOSA</t>
  </si>
  <si>
    <t>UNIÓN HIDALGO</t>
  </si>
  <si>
    <t>VALERIO TRUJANO</t>
  </si>
  <si>
    <t>SAN JUAN BAUTISTA VALLE NACIONAL</t>
  </si>
  <si>
    <t>VILLA DÍAZ ORDAZ</t>
  </si>
  <si>
    <t>YAXE</t>
  </si>
  <si>
    <t>MAGDALENA YODOCONO DE PORFIRIO DÍAZ</t>
  </si>
  <si>
    <t>YOGANA</t>
  </si>
  <si>
    <t>YUTANDUCHI DE GUERRERO</t>
  </si>
  <si>
    <t>VILLA DE ZAACHILA</t>
  </si>
  <si>
    <t>SAN MATEO YUCUTINDOO</t>
  </si>
  <si>
    <t>ZAPOTITLÁN LAGUNAS</t>
  </si>
  <si>
    <t>ZAPOTITLÁN PALMAS</t>
  </si>
  <si>
    <t>SANTA INÉS DE ZARAGOZA</t>
  </si>
  <si>
    <t>ZIMATLÁN DE ÁLVAREZ</t>
  </si>
  <si>
    <t>ACAJETE</t>
  </si>
  <si>
    <t>ACATENO</t>
  </si>
  <si>
    <t>ACATZINGO</t>
  </si>
  <si>
    <t>ACTEOPAN</t>
  </si>
  <si>
    <t>AHUATLÁN</t>
  </si>
  <si>
    <t>AHUAZOTEPEC</t>
  </si>
  <si>
    <t>AHUEHUETITLA</t>
  </si>
  <si>
    <t>AJALPAN</t>
  </si>
  <si>
    <t>ALBINO ZERTUCHE</t>
  </si>
  <si>
    <t>ALJOJUCA</t>
  </si>
  <si>
    <t>ALTEPEXI</t>
  </si>
  <si>
    <t>AMIXTLÁN</t>
  </si>
  <si>
    <t>AMOZOC</t>
  </si>
  <si>
    <t>AQUIXTLA</t>
  </si>
  <si>
    <t>ATEMPAN</t>
  </si>
  <si>
    <t>ATEXCAL</t>
  </si>
  <si>
    <t>ATLIXCO</t>
  </si>
  <si>
    <t>ATOYATEMPAN</t>
  </si>
  <si>
    <t>ATZALA</t>
  </si>
  <si>
    <t>ATZITZIHUACÁN</t>
  </si>
  <si>
    <t>ATZITZINTLA</t>
  </si>
  <si>
    <t>AXUTLA</t>
  </si>
  <si>
    <t>AYOTOXCO DE GUERRERO</t>
  </si>
  <si>
    <t>CALPAN</t>
  </si>
  <si>
    <t>CALTEPEC</t>
  </si>
  <si>
    <t>CAMOCUAUTLA</t>
  </si>
  <si>
    <t>CAXHUACAN</t>
  </si>
  <si>
    <t>COATEPEC</t>
  </si>
  <si>
    <t>COATZINGO</t>
  </si>
  <si>
    <t>COHETZALA</t>
  </si>
  <si>
    <t>COHUECAN</t>
  </si>
  <si>
    <t>CORONANGO</t>
  </si>
  <si>
    <t>COXCATLÁN</t>
  </si>
  <si>
    <t>COYOMEAPAN</t>
  </si>
  <si>
    <t>CUAPIAXTLA DE MADERO</t>
  </si>
  <si>
    <t>CUAUTEMPAN</t>
  </si>
  <si>
    <t>CUAUTINCHÁN</t>
  </si>
  <si>
    <t>CUAUTLANCINGO</t>
  </si>
  <si>
    <t>CUAYUCA DE ANDRADE</t>
  </si>
  <si>
    <t>CUETZALAN DEL PROGRESO</t>
  </si>
  <si>
    <t>CUYOACO</t>
  </si>
  <si>
    <t>CHALCHICOMULA DE SESMA</t>
  </si>
  <si>
    <t>CHAPULCO</t>
  </si>
  <si>
    <t>CHIAUTZINGO</t>
  </si>
  <si>
    <t>CHICONCUAUTLA</t>
  </si>
  <si>
    <t>CHICHIQUILA</t>
  </si>
  <si>
    <t>CHIETLA</t>
  </si>
  <si>
    <t>CHIGMECATITLÁN</t>
  </si>
  <si>
    <t>CHIGNAHUAPAN</t>
  </si>
  <si>
    <t>CHIGNAUTLA</t>
  </si>
  <si>
    <t>CHILA</t>
  </si>
  <si>
    <t>CHILA DE LA SAL</t>
  </si>
  <si>
    <t>HONEY</t>
  </si>
  <si>
    <t>CHILCHOTLA</t>
  </si>
  <si>
    <t>CHINANTLA</t>
  </si>
  <si>
    <t>DOMINGO ARENAS</t>
  </si>
  <si>
    <t>EPATLÁN</t>
  </si>
  <si>
    <t>ESPERANZA</t>
  </si>
  <si>
    <t>FRANCISCO Z. MENA</t>
  </si>
  <si>
    <t>GENERAL FELIPE ÁNGELES</t>
  </si>
  <si>
    <t>HERMENEGILDO GALEANA</t>
  </si>
  <si>
    <t>HUAQUECHULA</t>
  </si>
  <si>
    <t>HUATLATLAUCA</t>
  </si>
  <si>
    <t>HUAUCHINANGO</t>
  </si>
  <si>
    <t>HUEHUETLÁN EL CHICO</t>
  </si>
  <si>
    <t>HUEJOTZINGO</t>
  </si>
  <si>
    <t>HUEYAPAN</t>
  </si>
  <si>
    <t>HUEYTAMALCO</t>
  </si>
  <si>
    <t>HUEYTLALPAN</t>
  </si>
  <si>
    <t>HUITZILAN DE SERDÁN</t>
  </si>
  <si>
    <t>HUITZILTEPEC</t>
  </si>
  <si>
    <t>ATLEQUIZAYAN</t>
  </si>
  <si>
    <t>IXCAMILPA DE GUERRERO</t>
  </si>
  <si>
    <t>IXCAQUIXTLA</t>
  </si>
  <si>
    <t>IXTACAMAXTITLÁN</t>
  </si>
  <si>
    <t>IXTEPEC</t>
  </si>
  <si>
    <t>IZÚCAR DE MATAMOROS</t>
  </si>
  <si>
    <t>JALPAN</t>
  </si>
  <si>
    <t>JOLALPAN</t>
  </si>
  <si>
    <t>JONOTLA</t>
  </si>
  <si>
    <t>JOPALA</t>
  </si>
  <si>
    <t>JUAN C. BONILLA</t>
  </si>
  <si>
    <t>JUAN GALINDO</t>
  </si>
  <si>
    <t>JUAN N. MÉNDEZ</t>
  </si>
  <si>
    <t>LAFRAGUA</t>
  </si>
  <si>
    <t>LIBRES</t>
  </si>
  <si>
    <t>LA MAGDALENA TLATLAUQUITEPEC</t>
  </si>
  <si>
    <t>MAZAPILTEPEC DE JUÁREZ</t>
  </si>
  <si>
    <t>MIXTLA</t>
  </si>
  <si>
    <t>MOLCAXAC</t>
  </si>
  <si>
    <t>CAÑADA MORELOS</t>
  </si>
  <si>
    <t>NAUPAN</t>
  </si>
  <si>
    <t>NAUZONTLA</t>
  </si>
  <si>
    <t>NEALTICAN</t>
  </si>
  <si>
    <t>NICOLÁS BRAVO</t>
  </si>
  <si>
    <t>NOPALUCAN</t>
  </si>
  <si>
    <t>OCOYUCAN</t>
  </si>
  <si>
    <t>OLINTLA</t>
  </si>
  <si>
    <t>ORIENTAL</t>
  </si>
  <si>
    <t>PAHUATLÁN</t>
  </si>
  <si>
    <t>PALMAR DE BRAVO</t>
  </si>
  <si>
    <t>PETLALCINGO</t>
  </si>
  <si>
    <t>PIAXTLA</t>
  </si>
  <si>
    <t>PUEBLA</t>
  </si>
  <si>
    <t>QUECHOLAC</t>
  </si>
  <si>
    <t>QUIMIXTLÁN</t>
  </si>
  <si>
    <t>RAFAEL LARA GRAJALES</t>
  </si>
  <si>
    <t>LOS REYES DE JUÁREZ</t>
  </si>
  <si>
    <t>SAN ANDRÉS CHOLULA</t>
  </si>
  <si>
    <t>SAN ANTONIO CAÑADA</t>
  </si>
  <si>
    <t>SAN DIEGO LA MESA TOCHIMILTZINGO</t>
  </si>
  <si>
    <t>SAN FELIPE TEOTLALCINGO</t>
  </si>
  <si>
    <t>SAN FELIPE TEPATLÁN</t>
  </si>
  <si>
    <t>SAN GABRIEL CHILAC</t>
  </si>
  <si>
    <t>SAN GREGORIO ATZOMPA</t>
  </si>
  <si>
    <t>SAN JERÓNIMO TECUANIPAN</t>
  </si>
  <si>
    <t>SAN JERÓNIMO XAYACATLÁN</t>
  </si>
  <si>
    <t>SAN JOSÉ CHIAPA</t>
  </si>
  <si>
    <t>SAN JOSÉ MIAHUATLÁN</t>
  </si>
  <si>
    <t>SAN JUAN ATENCO</t>
  </si>
  <si>
    <t>SAN JUAN ATZOMPA</t>
  </si>
  <si>
    <t>SAN MARTÍN TEXMELUCAN</t>
  </si>
  <si>
    <t>SAN MARTÍN TOTOLTEPEC</t>
  </si>
  <si>
    <t>SAN MATÍAS TLALANCALECA</t>
  </si>
  <si>
    <t>SAN MIGUEL IXITLÁN</t>
  </si>
  <si>
    <t>SAN MIGUEL XOXTLA</t>
  </si>
  <si>
    <t>SAN NICOLÁS BUENOS AIRES</t>
  </si>
  <si>
    <t>SAN NICOLÁS DE LOS RANCHOS</t>
  </si>
  <si>
    <t>SAN PABLO ANICANO</t>
  </si>
  <si>
    <t>SAN PEDRO CHOLULA</t>
  </si>
  <si>
    <t>SAN PEDRO YELOIXTLAHUACA</t>
  </si>
  <si>
    <t>SAN SALVADOR EL SECO</t>
  </si>
  <si>
    <t>SAN SALVADOR EL VERDE</t>
  </si>
  <si>
    <t>SAN SALVADOR HUIXCOLOTLA</t>
  </si>
  <si>
    <t>SAN SEBASTIÁN TLACOTEPEC</t>
  </si>
  <si>
    <t>SANTA CATARINA TLALTEMPAN</t>
  </si>
  <si>
    <t>SANTA INÉS AHUATEMPAN</t>
  </si>
  <si>
    <t>SANTA ISABEL CHOLULA</t>
  </si>
  <si>
    <t>SANTIAGO MIAHUATLÁN</t>
  </si>
  <si>
    <t>HUEHUETLÁN EL GRANDE</t>
  </si>
  <si>
    <t>SANTO TOMÁS HUEYOTLIPAN</t>
  </si>
  <si>
    <t>SOLTEPEC</t>
  </si>
  <si>
    <t>TECALI DE HERRERA</t>
  </si>
  <si>
    <t>TECAMACHALCO</t>
  </si>
  <si>
    <t>TECOMATLÁN</t>
  </si>
  <si>
    <t>TEHUACÁN</t>
  </si>
  <si>
    <t>TEHUITZINGO</t>
  </si>
  <si>
    <t>TENAMPULCO</t>
  </si>
  <si>
    <t>TEOPANTLÁN</t>
  </si>
  <si>
    <t>TEOTLALCO</t>
  </si>
  <si>
    <t>TEPANCO DE LÓPEZ</t>
  </si>
  <si>
    <t>TEPANGO DE RODRÍGUEZ</t>
  </si>
  <si>
    <t>TEPATLAXCO DE HIDALGO</t>
  </si>
  <si>
    <t>TEPEACA</t>
  </si>
  <si>
    <t>TEPEMAXALCO</t>
  </si>
  <si>
    <t>TEPEOJUMA</t>
  </si>
  <si>
    <t>TEPETZINTLA</t>
  </si>
  <si>
    <t>TEPEXCO</t>
  </si>
  <si>
    <t>TEPEXI DE RODRÍGUEZ</t>
  </si>
  <si>
    <t>TEPEYAHUALCO</t>
  </si>
  <si>
    <t>TEPEYAHUALCO DE CUAUHTÉMOC</t>
  </si>
  <si>
    <t>TETELA DE OCAMPO</t>
  </si>
  <si>
    <t>TETELES DE AVILA CASTILLO</t>
  </si>
  <si>
    <t>TEZIUTLÁN</t>
  </si>
  <si>
    <t>TIANGUISMANALCO</t>
  </si>
  <si>
    <t>TILAPA</t>
  </si>
  <si>
    <t>TLACOTEPEC DE BENITO JUÁREZ</t>
  </si>
  <si>
    <t>TLACUILOTEPEC</t>
  </si>
  <si>
    <t>TLACHICHUCA</t>
  </si>
  <si>
    <t>TLAHUAPAN</t>
  </si>
  <si>
    <t>TLALTENANGO</t>
  </si>
  <si>
    <t>TLANEPANTLA</t>
  </si>
  <si>
    <t>TLAOLA</t>
  </si>
  <si>
    <t>TLAPACOYA</t>
  </si>
  <si>
    <t>TLAPANALÁ</t>
  </si>
  <si>
    <t>TLATLAUQUITEPEC</t>
  </si>
  <si>
    <t>TLAXCO</t>
  </si>
  <si>
    <t>TOCHIMILCO</t>
  </si>
  <si>
    <t>TOCHTEPEC</t>
  </si>
  <si>
    <t>TOTOLTEPEC DE GUERRERO</t>
  </si>
  <si>
    <t>TULCINGO</t>
  </si>
  <si>
    <t>TUZAMAPAN DE GALEANA</t>
  </si>
  <si>
    <t>TZICATLACOYAN</t>
  </si>
  <si>
    <t>XAYACATLÁN DE BRAVO</t>
  </si>
  <si>
    <t>XICOTEPEC</t>
  </si>
  <si>
    <t>XICOTLÁN</t>
  </si>
  <si>
    <t>XIUTETELCO</t>
  </si>
  <si>
    <t>XOCHIAPULCO</t>
  </si>
  <si>
    <t>XOCHILTEPEC</t>
  </si>
  <si>
    <t>XOCHITLÁN DE VICENTE SUÁREZ</t>
  </si>
  <si>
    <t>XOCHITLÁN TODOS SANTOS</t>
  </si>
  <si>
    <t>YAONÁHUAC</t>
  </si>
  <si>
    <t>YEHUALTEPEC</t>
  </si>
  <si>
    <t>ZACAPALA</t>
  </si>
  <si>
    <t>ZACAPOAXTLA</t>
  </si>
  <si>
    <t>ZACATLÁN</t>
  </si>
  <si>
    <t>ZAPOTITLÁN</t>
  </si>
  <si>
    <t>ZAPOTITLÁN DE MÉNDEZ</t>
  </si>
  <si>
    <t>ZAUTLA</t>
  </si>
  <si>
    <t>ZIHUATEUTLA</t>
  </si>
  <si>
    <t>ZINACATEPEC</t>
  </si>
  <si>
    <t>ZONGOZOTLA</t>
  </si>
  <si>
    <t>ZOQUIAPAN</t>
  </si>
  <si>
    <t>ZOQUITLÁN</t>
  </si>
  <si>
    <t>AMEALCO DE BONFIL</t>
  </si>
  <si>
    <t>PINAL DE AMOLES</t>
  </si>
  <si>
    <t>ARROYO SECO</t>
  </si>
  <si>
    <t>CADEREYTA DE MONTES</t>
  </si>
  <si>
    <t>COLÓN</t>
  </si>
  <si>
    <t>CORREGIDORA</t>
  </si>
  <si>
    <t>EZEQUIEL MONTES</t>
  </si>
  <si>
    <t>HUIMILPAN</t>
  </si>
  <si>
    <t>JALPAN DE SERRA</t>
  </si>
  <si>
    <t>LANDA DE MATAMOROS</t>
  </si>
  <si>
    <t>EL MARQUÉS</t>
  </si>
  <si>
    <t>PEDRO ESCOBEDO</t>
  </si>
  <si>
    <t>PEÑAMILLER</t>
  </si>
  <si>
    <t>QUERÉTARO</t>
  </si>
  <si>
    <t>SAN JOAQUÍN</t>
  </si>
  <si>
    <t>TEQUISQUIAPAN</t>
  </si>
  <si>
    <t>SAN CIRO DE ACOSTA</t>
  </si>
  <si>
    <t>SAN ANTONIO</t>
  </si>
  <si>
    <t>SALINAS</t>
  </si>
  <si>
    <t>RIOVERDE</t>
  </si>
  <si>
    <t>MOCTEZUMA</t>
  </si>
  <si>
    <t>MEXQUITIC DE CARMONA</t>
  </si>
  <si>
    <t>MATEHUALA</t>
  </si>
  <si>
    <t>HUEHUETLÁN</t>
  </si>
  <si>
    <t>GUADALCÁZAR</t>
  </si>
  <si>
    <t>EBANO</t>
  </si>
  <si>
    <t>CHARCAS</t>
  </si>
  <si>
    <t>CIUDAD VALLES</t>
  </si>
  <si>
    <t>TANCANHUITZ</t>
  </si>
  <si>
    <t>CIUDAD FERNÁNDEZ</t>
  </si>
  <si>
    <t>CIUDAD DEL MAÍZ</t>
  </si>
  <si>
    <t>CERRO DE SAN PEDRO</t>
  </si>
  <si>
    <t>CERRITOS</t>
  </si>
  <si>
    <t>CEDRAL</t>
  </si>
  <si>
    <t>CATORCE</t>
  </si>
  <si>
    <t>CÁRDENAS</t>
  </si>
  <si>
    <t>ARMADILLO DE LOS INFANTE</t>
  </si>
  <si>
    <t>AQUISMÓN</t>
  </si>
  <si>
    <t>ALAQUINES</t>
  </si>
  <si>
    <t>AHUALULCO</t>
  </si>
  <si>
    <t>SAN LUIS POTOSÍ</t>
  </si>
  <si>
    <t>PUERTO MORELOS</t>
  </si>
  <si>
    <t>BACALAR</t>
  </si>
  <si>
    <t>TULUM</t>
  </si>
  <si>
    <t>SOLIDARIDAD</t>
  </si>
  <si>
    <t>JOSÉ MARÍA MORELOS</t>
  </si>
  <si>
    <t>OTHÓN P. BLANCO</t>
  </si>
  <si>
    <t>ISLA MUJERES</t>
  </si>
  <si>
    <t>FELIPE CARRILLO PUERTO</t>
  </si>
  <si>
    <t>COZUMEL</t>
  </si>
  <si>
    <t>SAN MARTÍN CHALCHICUAUTLA</t>
  </si>
  <si>
    <t>SAN NICOLÁS TOLENTINO</t>
  </si>
  <si>
    <t>SANTA MARÍA DEL RÍO</t>
  </si>
  <si>
    <t>SANTO DOMINGO</t>
  </si>
  <si>
    <t>SAN VICENTE TANCUAYALAB</t>
  </si>
  <si>
    <t>SOLEDAD DE GRACIANO SÁNCHEZ</t>
  </si>
  <si>
    <t>TAMASOPO</t>
  </si>
  <si>
    <t>TAMAZUNCHALE</t>
  </si>
  <si>
    <t>TAMPACÁN</t>
  </si>
  <si>
    <t>TAMPAMOLÓN CORONA</t>
  </si>
  <si>
    <t>TAMUÍN</t>
  </si>
  <si>
    <t>TANLAJÁS</t>
  </si>
  <si>
    <t>TANQUIÁN DE ESCOBEDO</t>
  </si>
  <si>
    <t>TIERRA NUEVA</t>
  </si>
  <si>
    <t>VANEGAS</t>
  </si>
  <si>
    <t>VENADO</t>
  </si>
  <si>
    <t>VILLA DE ARRIAGA</t>
  </si>
  <si>
    <t>VILLA DE GUADALUPE</t>
  </si>
  <si>
    <t>VILLA DE LA PAZ</t>
  </si>
  <si>
    <t>VILLA DE RAMOS</t>
  </si>
  <si>
    <t>VILLA DE REYES</t>
  </si>
  <si>
    <t>VILLA JUÁREZ</t>
  </si>
  <si>
    <t>AXTLA DE TERRAZAS</t>
  </si>
  <si>
    <t>XILITLA</t>
  </si>
  <si>
    <t>VILLA DE ARISTA</t>
  </si>
  <si>
    <t>MATLAPA</t>
  </si>
  <si>
    <t>EL NARANJO</t>
  </si>
  <si>
    <t>AHOME</t>
  </si>
  <si>
    <t>ANGOSTURA</t>
  </si>
  <si>
    <t>BADIRAGUATO</t>
  </si>
  <si>
    <t>CONCORDIA</t>
  </si>
  <si>
    <t>COSALÁ</t>
  </si>
  <si>
    <t>CULIACÁN</t>
  </si>
  <si>
    <t>CHOIX</t>
  </si>
  <si>
    <t>ELOTA</t>
  </si>
  <si>
    <t>ESCUINAPA</t>
  </si>
  <si>
    <t>EL FUERTE</t>
  </si>
  <si>
    <t>GUASAVE</t>
  </si>
  <si>
    <t>MAZATLÁN</t>
  </si>
  <si>
    <t>MOCORITO</t>
  </si>
  <si>
    <t>SALVADOR ALVARADO</t>
  </si>
  <si>
    <t>SAN IGNACIO</t>
  </si>
  <si>
    <t>SINALOA</t>
  </si>
  <si>
    <t>NAVOLATO</t>
  </si>
  <si>
    <t>ACONCHI</t>
  </si>
  <si>
    <t>AGUA PRIETA</t>
  </si>
  <si>
    <t>ALAMOS</t>
  </si>
  <si>
    <t>ALTAR</t>
  </si>
  <si>
    <t>ARIVECHI</t>
  </si>
  <si>
    <t>ARIZPE</t>
  </si>
  <si>
    <t>ATIL</t>
  </si>
  <si>
    <t>BACADÉHUACHI</t>
  </si>
  <si>
    <t>BACANORA</t>
  </si>
  <si>
    <t>BACERAC</t>
  </si>
  <si>
    <t>BACOACHI</t>
  </si>
  <si>
    <t>BÁCUM</t>
  </si>
  <si>
    <t>BANÁMICHI</t>
  </si>
  <si>
    <t>BAVIÁCORA</t>
  </si>
  <si>
    <t>BAVISPE</t>
  </si>
  <si>
    <t>BENJAMÍN HILL</t>
  </si>
  <si>
    <t>CABORCA</t>
  </si>
  <si>
    <t>CAJEME</t>
  </si>
  <si>
    <t>CANANEA</t>
  </si>
  <si>
    <t>CARBÓ</t>
  </si>
  <si>
    <t>LA COLORADA</t>
  </si>
  <si>
    <t>CUCURPE</t>
  </si>
  <si>
    <t>CUMPAS</t>
  </si>
  <si>
    <t>DIVISADEROS</t>
  </si>
  <si>
    <t>EMPALME</t>
  </si>
  <si>
    <t>ETCHOJOA</t>
  </si>
  <si>
    <t>FRONTERAS</t>
  </si>
  <si>
    <t>GRANADOS</t>
  </si>
  <si>
    <t>GUAYMAS</t>
  </si>
  <si>
    <t>HERMOSILLO</t>
  </si>
  <si>
    <t>HUACHINERA</t>
  </si>
  <si>
    <t>HUÁSABAS</t>
  </si>
  <si>
    <t>HUATABAMPO</t>
  </si>
  <si>
    <t>HUÉPAC</t>
  </si>
  <si>
    <t>IMURIS</t>
  </si>
  <si>
    <t>NACO</t>
  </si>
  <si>
    <t>NÁCORI CHICO</t>
  </si>
  <si>
    <t>NACOZARI DE GARCÍA</t>
  </si>
  <si>
    <t>NAVOJOA</t>
  </si>
  <si>
    <t>NOGALES</t>
  </si>
  <si>
    <t>ONAVAS</t>
  </si>
  <si>
    <t>OPODEPE</t>
  </si>
  <si>
    <t>OQUITOA</t>
  </si>
  <si>
    <t>PITIQUITO</t>
  </si>
  <si>
    <t>PUERTO PEÑASCO</t>
  </si>
  <si>
    <t>QUIRIEGO</t>
  </si>
  <si>
    <t>SAHUARIPA</t>
  </si>
  <si>
    <t>SAN FELIPE DE JESÚS</t>
  </si>
  <si>
    <t>SAN JAVIER</t>
  </si>
  <si>
    <t>SAN LUIS RÍO COLORADO</t>
  </si>
  <si>
    <t>SAN MIGUEL DE HORCASITAS</t>
  </si>
  <si>
    <t>SAN PEDRO DE LA CUEVA</t>
  </si>
  <si>
    <t>SANTA CRUZ</t>
  </si>
  <si>
    <t>SÁRIC</t>
  </si>
  <si>
    <t>SOYOPA</t>
  </si>
  <si>
    <t>SUAQUI GRANDE</t>
  </si>
  <si>
    <t>TEPACHE</t>
  </si>
  <si>
    <t>TRINCHERAS</t>
  </si>
  <si>
    <t>TUBUTAMA</t>
  </si>
  <si>
    <t>URES</t>
  </si>
  <si>
    <t>VILLA PESQUEIRA</t>
  </si>
  <si>
    <t>YÉCORA</t>
  </si>
  <si>
    <t>GENERAL PLUTARCO ELÍAS CALLES</t>
  </si>
  <si>
    <t>SAN IGNACIO RÍO MUERTO</t>
  </si>
  <si>
    <t>BALANCÁN</t>
  </si>
  <si>
    <t>CENTLA</t>
  </si>
  <si>
    <t>CENTRO</t>
  </si>
  <si>
    <t>COMALCALCO</t>
  </si>
  <si>
    <t>CUNDUACÁN</t>
  </si>
  <si>
    <t>HUIMANGUILLO</t>
  </si>
  <si>
    <t>JALAPA</t>
  </si>
  <si>
    <t>JALPA DE MÉNDEZ</t>
  </si>
  <si>
    <t>JONUTA</t>
  </si>
  <si>
    <t>MACUSPANA</t>
  </si>
  <si>
    <t>NACAJUCA</t>
  </si>
  <si>
    <t>PARAÍSO</t>
  </si>
  <si>
    <t>TACOTALPA</t>
  </si>
  <si>
    <t>TEAPA</t>
  </si>
  <si>
    <t>TENOSIQUE</t>
  </si>
  <si>
    <t>ALTAMIRA</t>
  </si>
  <si>
    <t>ANTIGUO MORELOS</t>
  </si>
  <si>
    <t>BURGOS</t>
  </si>
  <si>
    <t>CASAS</t>
  </si>
  <si>
    <t>CIUDAD MADERO</t>
  </si>
  <si>
    <t>CRUILLAS</t>
  </si>
  <si>
    <t>GONZÁLEZ</t>
  </si>
  <si>
    <t>GÁœÉMEZ</t>
  </si>
  <si>
    <t>GUSTAVO DÍAZ ORDAZ</t>
  </si>
  <si>
    <t>JAUMAVE</t>
  </si>
  <si>
    <t>LLERA</t>
  </si>
  <si>
    <t>MAINERO</t>
  </si>
  <si>
    <t>EL MANTE</t>
  </si>
  <si>
    <t>MÉNDEZ</t>
  </si>
  <si>
    <t>MIER</t>
  </si>
  <si>
    <t>MIGUEL ALEMÁN</t>
  </si>
  <si>
    <t>MIQUIHUANA</t>
  </si>
  <si>
    <t>NUEVO LAREDO</t>
  </si>
  <si>
    <t>NUEVO MORELOS</t>
  </si>
  <si>
    <t>PADILLA</t>
  </si>
  <si>
    <t>PALMILLAS</t>
  </si>
  <si>
    <t>REYNOSA</t>
  </si>
  <si>
    <t>RÍO BRAVO</t>
  </si>
  <si>
    <t>SAN CARLOS</t>
  </si>
  <si>
    <t>SOTO LA MARINA</t>
  </si>
  <si>
    <t>TAMPICO</t>
  </si>
  <si>
    <t>TULA</t>
  </si>
  <si>
    <t>VALLE HERMOSO</t>
  </si>
  <si>
    <t>XICOTÉNCATL</t>
  </si>
  <si>
    <t>AMAXAC DE GUERRERO</t>
  </si>
  <si>
    <t>APETATITLÁN DE ANTONIO CARVAJAL</t>
  </si>
  <si>
    <t>ATLANGATEPEC</t>
  </si>
  <si>
    <t>ATLTZAYANCA</t>
  </si>
  <si>
    <t>APIZACO</t>
  </si>
  <si>
    <t>CALPULALPAN</t>
  </si>
  <si>
    <t>EL CARMEN TEQUEXQUITLA</t>
  </si>
  <si>
    <t>CUAPIAXTLA</t>
  </si>
  <si>
    <t>CUAXOMULCO</t>
  </si>
  <si>
    <t>CHIAUTEMPAN</t>
  </si>
  <si>
    <t>MUÑOZ DE DOMINGO ARENAS</t>
  </si>
  <si>
    <t>ESPAÑITA</t>
  </si>
  <si>
    <t>HUAMANTLA</t>
  </si>
  <si>
    <t>HUEYOTLIPAN</t>
  </si>
  <si>
    <t>IXTACUIXTLA DE MARIANO MATAMOROS</t>
  </si>
  <si>
    <t>IXTENCO</t>
  </si>
  <si>
    <t>MAZATECOCHCO DE JOSÉ MARÍA MORELOS</t>
  </si>
  <si>
    <t>CONTLA DE JUAN CUAMATZI</t>
  </si>
  <si>
    <t>TEPETITLA DE LARDIZÁBAL</t>
  </si>
  <si>
    <t>SANCTÓRUM DE LÁZARO CÁRDENAS</t>
  </si>
  <si>
    <t>NANACAMILPA DE MARIANO ARISTA</t>
  </si>
  <si>
    <t>ACUAMANALA DE MIGUEL HIDALGO</t>
  </si>
  <si>
    <t>NATÍVITAS</t>
  </si>
  <si>
    <t>PANOTLA</t>
  </si>
  <si>
    <t>SAN PABLO DEL MONTE</t>
  </si>
  <si>
    <t>SANTA CRUZ TLAXCALA</t>
  </si>
  <si>
    <t>TEOLOCHOLCO</t>
  </si>
  <si>
    <t>TEPEYANCO</t>
  </si>
  <si>
    <t>TERRENATE</t>
  </si>
  <si>
    <t>TETLA DE LA SOLIDARIDAD</t>
  </si>
  <si>
    <t>TETLATLAHUCA</t>
  </si>
  <si>
    <t>TLAXCALA</t>
  </si>
  <si>
    <t>TOCATLÁN</t>
  </si>
  <si>
    <t>TOTOLAC</t>
  </si>
  <si>
    <t>ZILTLALTÉPEC DE TRINIDAD SÁNCHEZ SANTOS</t>
  </si>
  <si>
    <t>TZOMPANTEPEC</t>
  </si>
  <si>
    <t>XALOZTOC</t>
  </si>
  <si>
    <t>XALTOCAN</t>
  </si>
  <si>
    <t>PAPALOTLA DE XICOHTÉNCATL</t>
  </si>
  <si>
    <t>XICOHTZINCO</t>
  </si>
  <si>
    <t>YAUHQUEMEHCAN</t>
  </si>
  <si>
    <t>ZACATELCO</t>
  </si>
  <si>
    <t>LA MAGDALENA TLALTELULCO</t>
  </si>
  <si>
    <t>SAN DAMIÁN TEXÓLOC</t>
  </si>
  <si>
    <t>SAN FRANCISCO TETLANOHCAN</t>
  </si>
  <si>
    <t>SAN JERÓNIMO ZACUALPAN</t>
  </si>
  <si>
    <t>SAN JOSÉ TEACALCO</t>
  </si>
  <si>
    <t>SAN JUAN HUACTZINCO</t>
  </si>
  <si>
    <t>SAN LORENZO AXOCOMANITLA</t>
  </si>
  <si>
    <t>SAN LUCAS TECOPILCO</t>
  </si>
  <si>
    <t>SANTA ANA NOPALUCAN</t>
  </si>
  <si>
    <t>SANTA APOLONIA TEACALCO</t>
  </si>
  <si>
    <t>SANTA CATARINA AYOMETLA</t>
  </si>
  <si>
    <t>SANTA CRUZ QUILEHTLA</t>
  </si>
  <si>
    <t>SANTA ISABEL XILOXOXTLA</t>
  </si>
  <si>
    <t>ACAYUCAN</t>
  </si>
  <si>
    <t>ACULA</t>
  </si>
  <si>
    <t>ACULTZINGO</t>
  </si>
  <si>
    <t>CAMARÓN DE TEJEDA</t>
  </si>
  <si>
    <t>ALPATLÁHUAC</t>
  </si>
  <si>
    <t>ALTO LUCERO DE GUTIÉRREZ BARRIOS</t>
  </si>
  <si>
    <t>ALTOTONGA</t>
  </si>
  <si>
    <t>ALVARADO</t>
  </si>
  <si>
    <t>AMATITLÁN</t>
  </si>
  <si>
    <t>NARANJOS AMATLÁN</t>
  </si>
  <si>
    <t>AMATLÁN DE LOS REYES</t>
  </si>
  <si>
    <t>ANGEL R. CABADA</t>
  </si>
  <si>
    <t>LA ANTIGUA</t>
  </si>
  <si>
    <t>APAZAPAN</t>
  </si>
  <si>
    <t>ASTACINGA</t>
  </si>
  <si>
    <t>ATLAHUILCO</t>
  </si>
  <si>
    <t>ATZACAN</t>
  </si>
  <si>
    <t>ATZALAN</t>
  </si>
  <si>
    <t>TLALTETELA</t>
  </si>
  <si>
    <t>AYAHUALULCO</t>
  </si>
  <si>
    <t>BANDERILLA</t>
  </si>
  <si>
    <t>BOCA DEL RÍO</t>
  </si>
  <si>
    <t>CALCAHUALCO</t>
  </si>
  <si>
    <t>CAMERINO Z. MENDOZA</t>
  </si>
  <si>
    <t>CARRILLO PUERTO</t>
  </si>
  <si>
    <t>CATEMACO</t>
  </si>
  <si>
    <t>CAZONES DE HERRERA</t>
  </si>
  <si>
    <t>CERRO AZUL</t>
  </si>
  <si>
    <t>CITLALTÉPETL</t>
  </si>
  <si>
    <t>COACOATZINTLA</t>
  </si>
  <si>
    <t>COAHUITLÁN</t>
  </si>
  <si>
    <t>COATZACOALCOS</t>
  </si>
  <si>
    <t>COATZINTLA</t>
  </si>
  <si>
    <t>COETZALA</t>
  </si>
  <si>
    <t>COLIPA</t>
  </si>
  <si>
    <t>COMAPA</t>
  </si>
  <si>
    <t>CÓRDOBA</t>
  </si>
  <si>
    <t>COSAMALOAPAN DE CARPIO</t>
  </si>
  <si>
    <t>COSAUTLÁN DE CARVAJAL</t>
  </si>
  <si>
    <t>COSCOMATEPEC</t>
  </si>
  <si>
    <t>COSOLEACAQUE</t>
  </si>
  <si>
    <t>COTAXTLA</t>
  </si>
  <si>
    <t>COXQUIHUI</t>
  </si>
  <si>
    <t>COYUTLA</t>
  </si>
  <si>
    <t>CUICHAPA</t>
  </si>
  <si>
    <t>CUITLÁHUAC</t>
  </si>
  <si>
    <t>CHACALTIANGUIS</t>
  </si>
  <si>
    <t>CHALMA</t>
  </si>
  <si>
    <t>CHICONAMEL</t>
  </si>
  <si>
    <t>CHICONQUIACO</t>
  </si>
  <si>
    <t>CHICONTEPEC</t>
  </si>
  <si>
    <t>CHINAMECA</t>
  </si>
  <si>
    <t>CHINAMPA DE GOROSTIZA</t>
  </si>
  <si>
    <t>LAS CHOAPAS</t>
  </si>
  <si>
    <t>CHOCAMÁN</t>
  </si>
  <si>
    <t>CHONTLA</t>
  </si>
  <si>
    <t>CHUMATLÁN</t>
  </si>
  <si>
    <t>ESPINAL</t>
  </si>
  <si>
    <t>FILOMENO MATA</t>
  </si>
  <si>
    <t>FORTÍN</t>
  </si>
  <si>
    <t>GUTIÉRREZ ZAMORA</t>
  </si>
  <si>
    <t>HIDALGOTITLÁN</t>
  </si>
  <si>
    <t>HUATUSCO</t>
  </si>
  <si>
    <t>HUAYACOCOTLA</t>
  </si>
  <si>
    <t>HUEYAPAN DE OCAMPO</t>
  </si>
  <si>
    <t>HUILOAPAN DE CUAUHTÉMOC</t>
  </si>
  <si>
    <t>IGNACIO DE LA LLAVE</t>
  </si>
  <si>
    <t>ILAMATLÁN</t>
  </si>
  <si>
    <t>ISLA</t>
  </si>
  <si>
    <t>IXCATEPEC</t>
  </si>
  <si>
    <t>IXHUACÁN DE LOS REYES</t>
  </si>
  <si>
    <t>IXHUATLÁN DEL CAFÉ</t>
  </si>
  <si>
    <t>IXHUATLANCILLO</t>
  </si>
  <si>
    <t>IXHUATLÁN DEL SURESTE</t>
  </si>
  <si>
    <t>IXHUATLÁN DE MADERO</t>
  </si>
  <si>
    <t>IXMATLAHUACAN</t>
  </si>
  <si>
    <t>IXTACZOQUITLÁN</t>
  </si>
  <si>
    <t>JALACINGO</t>
  </si>
  <si>
    <t>XALAPA</t>
  </si>
  <si>
    <t>JALCOMULCO</t>
  </si>
  <si>
    <t>JÁLTIPAN</t>
  </si>
  <si>
    <t>JAMAPA</t>
  </si>
  <si>
    <t>JESÚS CARRANZA</t>
  </si>
  <si>
    <t>XICO</t>
  </si>
  <si>
    <t>JUAN RODRÍGUEZ CLARA</t>
  </si>
  <si>
    <t>JUCHIQUE DE FERRER</t>
  </si>
  <si>
    <t>LANDERO Y COSS</t>
  </si>
  <si>
    <t>LERDO DE TEJADA</t>
  </si>
  <si>
    <t>MALTRATA</t>
  </si>
  <si>
    <t>MANLIO FABIO ALTAMIRANO</t>
  </si>
  <si>
    <t>MARIANO ESCOBEDO</t>
  </si>
  <si>
    <t>MARTÍNEZ DE LA TORRE</t>
  </si>
  <si>
    <t>MECATLÁN</t>
  </si>
  <si>
    <t>MECAYAPAN</t>
  </si>
  <si>
    <t>MEDELLÍN DE BRAVO</t>
  </si>
  <si>
    <t>MIAHUATLÁN</t>
  </si>
  <si>
    <t>LAS MINAS</t>
  </si>
  <si>
    <t>MISANTLA</t>
  </si>
  <si>
    <t>MIXTLA DE ALTAMIRANO</t>
  </si>
  <si>
    <t>MOLOACÁN</t>
  </si>
  <si>
    <t>NAOLINCO</t>
  </si>
  <si>
    <t>NARANJAL</t>
  </si>
  <si>
    <t>NAUTLA</t>
  </si>
  <si>
    <t>OLUTA</t>
  </si>
  <si>
    <t>OMEALCA</t>
  </si>
  <si>
    <t>ORIZABA</t>
  </si>
  <si>
    <t>OTATITLÁN</t>
  </si>
  <si>
    <t>OTEAPAN</t>
  </si>
  <si>
    <t>OZULUAMA DE MASCAREÑAS</t>
  </si>
  <si>
    <t>PAJAPAN</t>
  </si>
  <si>
    <t>PÁNUCO</t>
  </si>
  <si>
    <t>PAPANTLA</t>
  </si>
  <si>
    <t>PASO DEL MACHO</t>
  </si>
  <si>
    <t>PASO DE OVEJAS</t>
  </si>
  <si>
    <t>LA PERLA</t>
  </si>
  <si>
    <t>PEROTE</t>
  </si>
  <si>
    <t>PLATÓN SÁNCHEZ</t>
  </si>
  <si>
    <t>PLAYA VICENTE</t>
  </si>
  <si>
    <t>POZA RICA DE HIDALGO</t>
  </si>
  <si>
    <t>LAS VIGAS DE RAMÍREZ</t>
  </si>
  <si>
    <t>PUEBLO VIEJO</t>
  </si>
  <si>
    <t>PUENTE NACIONAL</t>
  </si>
  <si>
    <t>RAFAEL DELGADO</t>
  </si>
  <si>
    <t>RAFAEL LUCIO</t>
  </si>
  <si>
    <t>RÍO BLANCO</t>
  </si>
  <si>
    <t>SALTABARRANCA</t>
  </si>
  <si>
    <t>SAN ANDRÉS TENEJAPAN</t>
  </si>
  <si>
    <t>SAN ANDRÉS TUXTLA</t>
  </si>
  <si>
    <t>SAN JUAN EVANGELISTA</t>
  </si>
  <si>
    <t>SANTIAGO TUXTLA</t>
  </si>
  <si>
    <t>SAYULA DE ALEMÁN</t>
  </si>
  <si>
    <t>SOCONUSCO</t>
  </si>
  <si>
    <t>SOCHIAPA</t>
  </si>
  <si>
    <t>SOLEDAD ATZOMPA</t>
  </si>
  <si>
    <t>SOLEDAD DE DOBLADO</t>
  </si>
  <si>
    <t>SOTEAPAN</t>
  </si>
  <si>
    <t>TAMALÍN</t>
  </si>
  <si>
    <t>TAMIAHUA</t>
  </si>
  <si>
    <t>TAMPICO ALTO</t>
  </si>
  <si>
    <t>TANCOCO</t>
  </si>
  <si>
    <t>TANTIMA</t>
  </si>
  <si>
    <t>TANTOYUCA</t>
  </si>
  <si>
    <t>TATATILA</t>
  </si>
  <si>
    <t>CASTILLO DE TEAYO</t>
  </si>
  <si>
    <t>TECOLUTLA</t>
  </si>
  <si>
    <t>TEHUIPANGO</t>
  </si>
  <si>
    <t>ÁLAMO TEMAPACHE</t>
  </si>
  <si>
    <t>TEMPOAL</t>
  </si>
  <si>
    <t>TENAMPA</t>
  </si>
  <si>
    <t>TENOCHTITLÁN</t>
  </si>
  <si>
    <t>TEOCELO</t>
  </si>
  <si>
    <t>TEPATLAXCO</t>
  </si>
  <si>
    <t>TEPETLÁN</t>
  </si>
  <si>
    <t>JOSÉ AZUETA</t>
  </si>
  <si>
    <t>TEXCATEPEC</t>
  </si>
  <si>
    <t>TEXHUACÁN</t>
  </si>
  <si>
    <t>TEXISTEPEC</t>
  </si>
  <si>
    <t>TEZONAPA</t>
  </si>
  <si>
    <t>TIHUATLÁN</t>
  </si>
  <si>
    <t>TLACOJALPAN</t>
  </si>
  <si>
    <t>TLACOLULAN</t>
  </si>
  <si>
    <t>TLACOTALPAN</t>
  </si>
  <si>
    <t>TLACOTEPEC DE MEJÍA</t>
  </si>
  <si>
    <t>TLACHICHILCO</t>
  </si>
  <si>
    <t>TLALIXCOYAN</t>
  </si>
  <si>
    <t>TLALNELHUAYOCAN</t>
  </si>
  <si>
    <t>TLAPACOYAN</t>
  </si>
  <si>
    <t>TLAQUILPA</t>
  </si>
  <si>
    <t>TLILAPAN</t>
  </si>
  <si>
    <t>TONAYÁN</t>
  </si>
  <si>
    <t>TOTUTLA</t>
  </si>
  <si>
    <t>TUXTILLA</t>
  </si>
  <si>
    <t>URSULO GALVÁN</t>
  </si>
  <si>
    <t>VEGA DE ALATORRE</t>
  </si>
  <si>
    <t>VERACRUZ</t>
  </si>
  <si>
    <t>VILLA ALDAMA</t>
  </si>
  <si>
    <t>XOXOCOTLA</t>
  </si>
  <si>
    <t>YANGA</t>
  </si>
  <si>
    <t>YECUATLA</t>
  </si>
  <si>
    <t>ZENTLA</t>
  </si>
  <si>
    <t>ZONGOLICA</t>
  </si>
  <si>
    <t>ZONTECOMATLÁN DE LÓPEZ Y FUENTES</t>
  </si>
  <si>
    <t>ZOZOCOLCO DE HIDALGO</t>
  </si>
  <si>
    <t>AGUA DULCE</t>
  </si>
  <si>
    <t>EL HIGO</t>
  </si>
  <si>
    <t>NANCHITAL DE LÁZARO CÁRDENAS DEL RÍO</t>
  </si>
  <si>
    <t>TRES VALLES</t>
  </si>
  <si>
    <t>CARLOS A. CARRILLO</t>
  </si>
  <si>
    <t>TATAHUICAPAN DE JUÁREZ</t>
  </si>
  <si>
    <t>UXPANAPA</t>
  </si>
  <si>
    <t>SAN RAFAEL</t>
  </si>
  <si>
    <t>SANTIAGO SOCHIAPAN</t>
  </si>
  <si>
    <t>ABALÁ</t>
  </si>
  <si>
    <t>ACANCEH</t>
  </si>
  <si>
    <t>AKIL</t>
  </si>
  <si>
    <t>BACA</t>
  </si>
  <si>
    <t>BOKOBÁ</t>
  </si>
  <si>
    <t>BUCTZOTZ</t>
  </si>
  <si>
    <t>CACALCHÉN</t>
  </si>
  <si>
    <t>CALOTMUL</t>
  </si>
  <si>
    <t>CANSAHCAB</t>
  </si>
  <si>
    <t>CANTAMAYEC</t>
  </si>
  <si>
    <t>CELESTÚN</t>
  </si>
  <si>
    <t>CENOTILLO</t>
  </si>
  <si>
    <t>CONKAL</t>
  </si>
  <si>
    <t>CUNCUNUL</t>
  </si>
  <si>
    <t>CUZAMÁ</t>
  </si>
  <si>
    <t>CHACSINKÍN</t>
  </si>
  <si>
    <t>CHANKOM</t>
  </si>
  <si>
    <t>CHAPAB</t>
  </si>
  <si>
    <t>CHEMAX</t>
  </si>
  <si>
    <t>CHICXULUB PUEBLO</t>
  </si>
  <si>
    <t>CHICHIMILÁ</t>
  </si>
  <si>
    <t>CHIKINDZONOT</t>
  </si>
  <si>
    <t>CHOCHOLÁ</t>
  </si>
  <si>
    <t>CHUMAYEL</t>
  </si>
  <si>
    <t>DZÁN</t>
  </si>
  <si>
    <t>DZEMUL</t>
  </si>
  <si>
    <t>DZIDZANTÚN</t>
  </si>
  <si>
    <t>DZILAM DE BRAVO</t>
  </si>
  <si>
    <t>DZILAM GONZÁLEZ</t>
  </si>
  <si>
    <t>DZITÁS</t>
  </si>
  <si>
    <t>DZONCAUICH</t>
  </si>
  <si>
    <t>ESPITA</t>
  </si>
  <si>
    <t>HALACHÓ</t>
  </si>
  <si>
    <t>HOCABÁ</t>
  </si>
  <si>
    <t>HOCTÚN</t>
  </si>
  <si>
    <t>HOMÚN</t>
  </si>
  <si>
    <t>HUHÍ</t>
  </si>
  <si>
    <t>HUNUCMÁ</t>
  </si>
  <si>
    <t>IXIL</t>
  </si>
  <si>
    <t>IZAMAL</t>
  </si>
  <si>
    <t>KANASÍN</t>
  </si>
  <si>
    <t>KANTUNIL</t>
  </si>
  <si>
    <t>KAUA</t>
  </si>
  <si>
    <t>KINCHIL</t>
  </si>
  <si>
    <t>KOPOMÁ</t>
  </si>
  <si>
    <t>MAMA</t>
  </si>
  <si>
    <t>MANÍ</t>
  </si>
  <si>
    <t>MAXCANÚ</t>
  </si>
  <si>
    <t>MAYAPÁN</t>
  </si>
  <si>
    <t>MÉRIDA</t>
  </si>
  <si>
    <t>MOCOCHÁ</t>
  </si>
  <si>
    <t>MOTUL</t>
  </si>
  <si>
    <t>MUNA</t>
  </si>
  <si>
    <t>MUXUPIP</t>
  </si>
  <si>
    <t>OPICHÉN</t>
  </si>
  <si>
    <t>OXKUTZCAB</t>
  </si>
  <si>
    <t>PANABÁ</t>
  </si>
  <si>
    <t>PETO</t>
  </si>
  <si>
    <t>QUINTANA ROO</t>
  </si>
  <si>
    <t>RÍO LAGARTOS</t>
  </si>
  <si>
    <t>SACALUM</t>
  </si>
  <si>
    <t>SAMAHIL</t>
  </si>
  <si>
    <t>SANAHCAT</t>
  </si>
  <si>
    <t>SANTA ELENA</t>
  </si>
  <si>
    <t>SEYÉ</t>
  </si>
  <si>
    <t>SINANCHÉ</t>
  </si>
  <si>
    <t>SOTUTA</t>
  </si>
  <si>
    <t>SUCILÁ</t>
  </si>
  <si>
    <t>SUDZAL</t>
  </si>
  <si>
    <t>SUMA</t>
  </si>
  <si>
    <t>TAHDZIÚ</t>
  </si>
  <si>
    <t>TAHMEK</t>
  </si>
  <si>
    <t>TEABO</t>
  </si>
  <si>
    <t>TECOH</t>
  </si>
  <si>
    <t>TEKAL DE VENEGAS</t>
  </si>
  <si>
    <t>TEKANTÓ</t>
  </si>
  <si>
    <t>TEKAX</t>
  </si>
  <si>
    <t>TEKIT</t>
  </si>
  <si>
    <t>TEKOM</t>
  </si>
  <si>
    <t>TELCHAC PUEBLO</t>
  </si>
  <si>
    <t>TELCHAC PUERTO</t>
  </si>
  <si>
    <t>TEMAX</t>
  </si>
  <si>
    <t>TEMOZÓN</t>
  </si>
  <si>
    <t>TEPAKÁN</t>
  </si>
  <si>
    <t>TETIZ</t>
  </si>
  <si>
    <t>TEYA</t>
  </si>
  <si>
    <t>TICUL</t>
  </si>
  <si>
    <t>TIMUCUY</t>
  </si>
  <si>
    <t>TINUM</t>
  </si>
  <si>
    <t>TIXCACALCUPUL</t>
  </si>
  <si>
    <t>TIXKOKOB</t>
  </si>
  <si>
    <t>TIXMEHUAC</t>
  </si>
  <si>
    <t>TIXPÉHUAL</t>
  </si>
  <si>
    <t>TIZIMÍN</t>
  </si>
  <si>
    <t>TUNKÁS</t>
  </si>
  <si>
    <t>TZUCACAB</t>
  </si>
  <si>
    <t>UAYMA</t>
  </si>
  <si>
    <t>UCÚ</t>
  </si>
  <si>
    <t>UMÁN</t>
  </si>
  <si>
    <t>VALLADOLID</t>
  </si>
  <si>
    <t>XOCCHEL</t>
  </si>
  <si>
    <t>YAXCABÁ</t>
  </si>
  <si>
    <t>YAXKUKUL</t>
  </si>
  <si>
    <t>YOBAÍN</t>
  </si>
  <si>
    <t>APOZOL</t>
  </si>
  <si>
    <t>APULCO</t>
  </si>
  <si>
    <t>ATOLINGA</t>
  </si>
  <si>
    <t>CALERA</t>
  </si>
  <si>
    <t>CAÑITAS DE FELIPE PESCADOR</t>
  </si>
  <si>
    <t>CONCEPCIÓN DEL ORO</t>
  </si>
  <si>
    <t>CHALCHIHUITES</t>
  </si>
  <si>
    <t>FRESNILLO</t>
  </si>
  <si>
    <t>TRINIDAD GARCÍA DE LA CADENA</t>
  </si>
  <si>
    <t>GENARO CODINA</t>
  </si>
  <si>
    <t>GENERAL ENRIQUE ESTRADA</t>
  </si>
  <si>
    <t>GENERAL FRANCISCO R. MURGUÍA</t>
  </si>
  <si>
    <t>EL PLATEADO DE JOAQUÍN AMARO</t>
  </si>
  <si>
    <t>GENERAL PÁNFILO NATERA</t>
  </si>
  <si>
    <t>HUANUSCO</t>
  </si>
  <si>
    <t>JALPA</t>
  </si>
  <si>
    <t>JEREZ</t>
  </si>
  <si>
    <t>JIMÉNEZ DEL TEUL</t>
  </si>
  <si>
    <t>JUAN ALDAMA</t>
  </si>
  <si>
    <t>JUCHIPILA</t>
  </si>
  <si>
    <t>LUIS MOYA</t>
  </si>
  <si>
    <t>MAZAPIL</t>
  </si>
  <si>
    <t>MEZQUITAL DEL ORO</t>
  </si>
  <si>
    <t>MIGUEL AUZA</t>
  </si>
  <si>
    <t>MOMAX</t>
  </si>
  <si>
    <t>MONTE ESCOBEDO</t>
  </si>
  <si>
    <t>MOYAHUA DE ESTRADA</t>
  </si>
  <si>
    <t>NOCHISTLÁN DE MEJÍA</t>
  </si>
  <si>
    <t>NORIA DE ÁNGELES</t>
  </si>
  <si>
    <t>OJOCALIENTE</t>
  </si>
  <si>
    <t>PINOS</t>
  </si>
  <si>
    <t>RÍO GRANDE</t>
  </si>
  <si>
    <t>SAIN ALTO</t>
  </si>
  <si>
    <t>EL SALVADOR</t>
  </si>
  <si>
    <t>SOMBRERETE</t>
  </si>
  <si>
    <t>SUSTICACÁN</t>
  </si>
  <si>
    <t>TABASCO</t>
  </si>
  <si>
    <t>TEPECHITLÁN</t>
  </si>
  <si>
    <t>TEPETONGO</t>
  </si>
  <si>
    <t>TEÚL DE GONZÁLEZ ORTEGA</t>
  </si>
  <si>
    <t>TLALTENANGO DE SÁNCHEZ ROMÁN</t>
  </si>
  <si>
    <t>VALPARAÍSO</t>
  </si>
  <si>
    <t>VETAGRANDE</t>
  </si>
  <si>
    <t>VILLA DE COS</t>
  </si>
  <si>
    <t>VILLA GARCÍA</t>
  </si>
  <si>
    <t>VILLA GONZÁLEZ ORTEGA</t>
  </si>
  <si>
    <t>VILLANUEVA</t>
  </si>
  <si>
    <t>ZACATECAS</t>
  </si>
  <si>
    <t>TRANCOSO</t>
  </si>
  <si>
    <t>SANTA MARÍA DE LA PAZ</t>
  </si>
  <si>
    <t>Aguascalientes</t>
  </si>
  <si>
    <t>Baja_California</t>
  </si>
  <si>
    <t>Baja_California_Sur</t>
  </si>
  <si>
    <t>Campeche</t>
  </si>
  <si>
    <t>Chiapas</t>
  </si>
  <si>
    <t>Chihuahua</t>
  </si>
  <si>
    <t>Ciudad_de_México</t>
  </si>
  <si>
    <t>Coahuila</t>
  </si>
  <si>
    <t>Colima</t>
  </si>
  <si>
    <t>Durango</t>
  </si>
  <si>
    <t>Estado_de_México</t>
  </si>
  <si>
    <t>Guanajuato</t>
  </si>
  <si>
    <t>Guerrero</t>
  </si>
  <si>
    <t>Hidalgo</t>
  </si>
  <si>
    <t>Jalisco</t>
  </si>
  <si>
    <t>Michoacán</t>
  </si>
  <si>
    <t>Morelos</t>
  </si>
  <si>
    <t>Nayarit</t>
  </si>
  <si>
    <t>Nuevo_León</t>
  </si>
  <si>
    <t>Oaxaca</t>
  </si>
  <si>
    <t>Puebla</t>
  </si>
  <si>
    <t>Quintana_Roo</t>
  </si>
  <si>
    <t>San_Luis_Potosí</t>
  </si>
  <si>
    <t>Sinaloa</t>
  </si>
  <si>
    <t>Sonora</t>
  </si>
  <si>
    <t>Tabasco</t>
  </si>
  <si>
    <t>Tamaulipas</t>
  </si>
  <si>
    <t>Tlaxcala</t>
  </si>
  <si>
    <t>Veracruz</t>
  </si>
  <si>
    <t>Yucatán</t>
  </si>
  <si>
    <t>Zacatecas</t>
  </si>
  <si>
    <t>Bancos</t>
  </si>
  <si>
    <t>Pago</t>
  </si>
  <si>
    <t>Tipo Membresia</t>
  </si>
  <si>
    <t>descripcion</t>
  </si>
  <si>
    <t>vigente</t>
  </si>
  <si>
    <t>Vigente</t>
  </si>
  <si>
    <t>Si</t>
  </si>
  <si>
    <t>No</t>
  </si>
  <si>
    <t>$Inscripcion</t>
  </si>
  <si>
    <t>$cuotas</t>
  </si>
  <si>
    <t>Usuario Id</t>
  </si>
  <si>
    <t>Tipo_Monto</t>
  </si>
  <si>
    <t>Forma_Pago</t>
  </si>
  <si>
    <t>Tipo_Mem</t>
  </si>
  <si>
    <t>Teléfono</t>
  </si>
  <si>
    <t>Datos de los Socios</t>
  </si>
  <si>
    <t>Datos membresias</t>
  </si>
  <si>
    <t>Fecha Registro (dd-mm-aaaa)</t>
  </si>
  <si>
    <t>Fecha Inicial (dd-mm-aaaa)</t>
  </si>
  <si>
    <t>cuota</t>
  </si>
  <si>
    <t>dias</t>
  </si>
  <si>
    <t>Fecha Final (dd-mm-aaaa)</t>
  </si>
  <si>
    <t>Dias</t>
  </si>
  <si>
    <t>Domingo</t>
  </si>
  <si>
    <t>Lunes</t>
  </si>
  <si>
    <t>Martes</t>
  </si>
  <si>
    <t>Miércoles</t>
  </si>
  <si>
    <t>Jueves</t>
  </si>
  <si>
    <t>Viernes</t>
  </si>
  <si>
    <t>Sábado</t>
  </si>
  <si>
    <t>WD</t>
  </si>
  <si>
    <t>rest</t>
  </si>
  <si>
    <t>días</t>
  </si>
  <si>
    <t>Descripción</t>
  </si>
  <si>
    <t>Comentarios</t>
  </si>
  <si>
    <t>Descuento Inscripción</t>
  </si>
  <si>
    <t>Descuento Cuotas</t>
  </si>
  <si>
    <t>inscripcion</t>
  </si>
  <si>
    <t>cuotas</t>
  </si>
  <si>
    <t xml:space="preserve">Inscripción </t>
  </si>
  <si>
    <t xml:space="preserve">Fecha Vigencia </t>
  </si>
  <si>
    <t>vencida</t>
  </si>
  <si>
    <t>cuota mes</t>
  </si>
  <si>
    <t>Cuota Mensual</t>
  </si>
  <si>
    <t>cuota mes2</t>
  </si>
  <si>
    <t>cuota total</t>
  </si>
  <si>
    <t>dias-max</t>
  </si>
  <si>
    <t>Cuota de la membresía</t>
  </si>
  <si>
    <t>Inscripción con Descuento</t>
  </si>
  <si>
    <t>Cuota con Descuento</t>
  </si>
  <si>
    <t>Se otorga clase muestra?</t>
  </si>
  <si>
    <t>Fecha Clase Muestra</t>
  </si>
  <si>
    <t>descuento</t>
  </si>
  <si>
    <t>comentarios</t>
  </si>
  <si>
    <t>%desc insc</t>
  </si>
  <si>
    <t>%desc cuotas</t>
  </si>
  <si>
    <t>juntos</t>
  </si>
  <si>
    <t>Rodrigo</t>
  </si>
  <si>
    <t>Vilchis</t>
  </si>
  <si>
    <t>Valdes</t>
  </si>
  <si>
    <t>Circuito Zafiro no 6 casa 69, Condominio Punta Zirconia</t>
  </si>
  <si>
    <t>Fraccionamiento Punta Esmeralda</t>
  </si>
  <si>
    <t>rvilchisv@gmail.com</t>
  </si>
  <si>
    <t>Rodrigo Vilchis Valdes</t>
  </si>
  <si>
    <t>10001 - Rodrigo Vilchis Valdes</t>
  </si>
  <si>
    <t>Andrea Ximena</t>
  </si>
  <si>
    <t>Quezada</t>
  </si>
  <si>
    <t>Calle Molinos no. 20 departamento 10</t>
  </si>
  <si>
    <t>Mixcoac</t>
  </si>
  <si>
    <t>ax.vilchis@hotmail.com</t>
  </si>
  <si>
    <t>Andrea Ximena Vilchis Quezada</t>
  </si>
  <si>
    <t>10002 - Andrea Ximena Vilchis Quezada</t>
  </si>
  <si>
    <t>descripcion Rodrigo</t>
  </si>
  <si>
    <t>Comentarios Rodrigo</t>
  </si>
  <si>
    <t>segunda</t>
  </si>
  <si>
    <t>usuario</t>
  </si>
  <si>
    <t>Fecha Registro</t>
  </si>
  <si>
    <t>Fecha Inicial</t>
  </si>
  <si>
    <t>Fecha Final</t>
  </si>
  <si>
    <t>Fecha Vigencia</t>
  </si>
  <si>
    <t>Tipo Mem.</t>
  </si>
  <si>
    <t>Fec. Clas muestra</t>
  </si>
  <si>
    <t>No. Inscrip.</t>
  </si>
  <si>
    <t>Total Inscrip.</t>
  </si>
  <si>
    <t>No Colegia.</t>
  </si>
  <si>
    <t>Total Colegia.</t>
  </si>
  <si>
    <t>Mues tra</t>
  </si>
  <si>
    <t>Feha Vigencia</t>
  </si>
  <si>
    <t>otros</t>
  </si>
  <si>
    <t>Circuito Zafiro</t>
  </si>
  <si>
    <t>rvilchis@gmail.com</t>
  </si>
  <si>
    <t>10003 - Rodrigo Vilchis Valdes</t>
  </si>
  <si>
    <t>Ramses</t>
  </si>
  <si>
    <t>Ariza</t>
  </si>
  <si>
    <t>Gonzalez</t>
  </si>
  <si>
    <t xml:space="preserve">kdih kwfhilkfdsd </t>
  </si>
  <si>
    <t>colinas del sur</t>
  </si>
  <si>
    <t>Ramses Ariza Gonzalez</t>
  </si>
  <si>
    <t>10004 - Ramses Ariza Gonzalez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</si>
</sst>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$&quot;* #,##0.00_-;\-&quot;$&quot;* #,##0.00_-;_-&quot;$&quot;* &quot;-&quot;??_-;_-@_-"/>
    <numFmt numFmtId="164" formatCode="[$-F800]dddd\,\ mmmm\ dd\,\ yyyy"/>
    <numFmt numFmtId="165" formatCode="[$-80A]d&quot; de &quot;mmmm&quot; de &quot;yyyy;@"/>
    <numFmt numFmtId="166" formatCode="dd/mm/yyyy;@"/>
    <numFmt numFmtId="167" formatCode="##\-####\-####"/>
    <numFmt numFmtId="168" formatCode="00000"/>
    <numFmt numFmtId="169" formatCode="[$-80A]dddd\,\ dd&quot; de &quot;mmmm&quot; de &quot;yyyy;@"/>
    <numFmt numFmtId="170" formatCode="\(\+\5\2\)\ ##\-####\-####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Bahnschrift"/>
      <family val="2"/>
    </font>
    <font>
      <b/>
      <sz val="11"/>
      <color theme="0"/>
      <name val="Bahnschrift"/>
      <family val="2"/>
    </font>
    <font>
      <u/>
      <sz val="11"/>
      <color theme="10"/>
      <name val="Calibri"/>
      <family val="2"/>
      <scheme val="minor"/>
    </font>
    <font>
      <b/>
      <sz val="12"/>
      <color theme="0" tint="-4.9989318521683403E-2"/>
      <name val="Bahnschrift"/>
      <family val="2"/>
    </font>
    <font>
      <sz val="11"/>
      <name val="Bahnschrift"/>
      <family val="2"/>
    </font>
    <font>
      <b/>
      <sz val="14"/>
      <color theme="0" tint="-4.9989318521683403E-2"/>
      <name val="Bahnschrift"/>
      <family val="2"/>
    </font>
    <font>
      <sz val="11"/>
      <color theme="0" tint="-0.14999847407452621"/>
      <name val="Bahnschrift"/>
      <family val="2"/>
    </font>
    <font>
      <sz val="12"/>
      <color theme="1"/>
      <name val="Bahnschrift"/>
      <family val="2"/>
    </font>
    <font>
      <sz val="10"/>
      <color theme="1"/>
      <name val="Bahnschrift"/>
      <family val="2"/>
    </font>
    <font>
      <sz val="12"/>
      <color theme="1"/>
      <name val="Calibri"/>
      <family val="2"/>
      <scheme val="minor"/>
    </font>
    <font>
      <b/>
      <sz val="12"/>
      <color theme="0"/>
      <name val="Bahnschrift"/>
      <family val="2"/>
    </font>
    <font>
      <sz val="12"/>
      <name val="Bahnschrift"/>
      <family val="2"/>
    </font>
    <font>
      <sz val="12"/>
      <color theme="0" tint="-0.34998626667073579"/>
      <name val="Bahnschrift"/>
      <family val="2"/>
    </font>
    <font>
      <b/>
      <i/>
      <sz val="16"/>
      <color theme="7" tint="0.59999389629810485"/>
      <name val="Bahnschrift"/>
      <family val="2"/>
    </font>
    <font>
      <sz val="11"/>
      <color theme="1"/>
      <name val="Calibri"/>
      <family val="2"/>
      <scheme val="minor"/>
    </font>
    <font>
      <sz val="11"/>
      <color theme="0" tint="-0.34998626667073579"/>
      <name val="Bahnschrift"/>
      <family val="2"/>
    </font>
    <font>
      <b/>
      <sz val="14"/>
      <color theme="7" tint="0.59999389629810485"/>
      <name val="Calibri"/>
      <family val="2"/>
      <scheme val="minor"/>
    </font>
    <font>
      <sz val="12"/>
      <color theme="0"/>
      <name val="Bahnschrift"/>
      <family val="2"/>
    </font>
    <font>
      <b/>
      <sz val="11"/>
      <color theme="0" tint="-4.9989318521683403E-2"/>
      <name val="Bahnschrift"/>
      <family val="2"/>
    </font>
    <font>
      <b/>
      <sz val="10"/>
      <color theme="0" tint="-4.9989318521683403E-2"/>
      <name val="Bahnschrift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2060"/>
        <bgColor indexed="64"/>
      </patternFill>
    </fill>
    <fill>
      <gradientFill type="path" left="0.5" right="0.5" top="0.5" bottom="0.5">
        <stop position="0">
          <color theme="0" tint="-0.25098422193060094"/>
        </stop>
        <stop position="1">
          <color theme="4"/>
        </stop>
      </gradientFill>
    </fill>
    <fill>
      <gradientFill degree="90">
        <stop position="0">
          <color theme="7" tint="0.80001220740379042"/>
        </stop>
        <stop position="1">
          <color theme="4"/>
        </stop>
      </gradient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95">
    <xf numFmtId="0" fontId="0" fillId="0" borderId="0" xfId="0"/>
    <xf numFmtId="0" fontId="1" fillId="0" borderId="0" xfId="0" applyFont="1"/>
    <xf numFmtId="0" fontId="4" fillId="4" borderId="0" xfId="0" applyFont="1" applyFill="1"/>
    <xf numFmtId="0" fontId="3" fillId="0" borderId="0" xfId="1"/>
    <xf numFmtId="166" fontId="1" fillId="0" borderId="0" xfId="0" applyNumberFormat="1" applyFont="1"/>
    <xf numFmtId="0" fontId="1" fillId="0" borderId="0" xfId="0" applyFont="1" applyAlignment="1">
      <alignment textRotation="255"/>
    </xf>
    <xf numFmtId="0" fontId="7" fillId="10" borderId="0" xfId="0" applyFont="1" applyFill="1" applyAlignment="1">
      <alignment vertical="center" textRotation="255"/>
    </xf>
    <xf numFmtId="0" fontId="1" fillId="0" borderId="0" xfId="0" applyFont="1" applyAlignment="1">
      <alignment horizontal="center"/>
    </xf>
    <xf numFmtId="0" fontId="4" fillId="4" borderId="3" xfId="0" applyFont="1" applyFill="1" applyBorder="1"/>
    <xf numFmtId="0" fontId="1" fillId="0" borderId="0" xfId="0" applyFont="1" applyAlignment="1">
      <alignment wrapText="1"/>
    </xf>
    <xf numFmtId="0" fontId="4" fillId="4" borderId="0" xfId="0" applyFont="1" applyFill="1" applyAlignment="1">
      <alignment wrapText="1"/>
    </xf>
    <xf numFmtId="166" fontId="4" fillId="4" borderId="0" xfId="0" applyNumberFormat="1" applyFont="1" applyFill="1" applyAlignment="1">
      <alignment wrapText="1"/>
    </xf>
    <xf numFmtId="166" fontId="1" fillId="0" borderId="0" xfId="0" applyNumberFormat="1" applyFont="1" applyAlignment="1">
      <alignment textRotation="255"/>
    </xf>
    <xf numFmtId="167" fontId="4" fillId="4" borderId="0" xfId="0" applyNumberFormat="1" applyFont="1" applyFill="1" applyAlignment="1">
      <alignment wrapText="1"/>
    </xf>
    <xf numFmtId="167" fontId="1" fillId="0" borderId="0" xfId="0" applyNumberFormat="1" applyFont="1"/>
    <xf numFmtId="167" fontId="3" fillId="0" borderId="0" xfId="1" applyNumberFormat="1"/>
    <xf numFmtId="0" fontId="9" fillId="2" borderId="0" xfId="0" applyFont="1" applyFill="1"/>
    <xf numFmtId="0" fontId="9" fillId="0" borderId="0" xfId="0" applyFont="1"/>
    <xf numFmtId="166" fontId="9" fillId="0" borderId="0" xfId="0" applyNumberFormat="1" applyFont="1"/>
    <xf numFmtId="167" fontId="9" fillId="0" borderId="0" xfId="0" applyNumberFormat="1" applyFont="1"/>
    <xf numFmtId="0" fontId="9" fillId="2" borderId="1" xfId="0" applyFont="1" applyFill="1" applyBorder="1"/>
    <xf numFmtId="0" fontId="9" fillId="0" borderId="1" xfId="0" applyFont="1" applyBorder="1"/>
    <xf numFmtId="166" fontId="9" fillId="0" borderId="1" xfId="0" applyNumberFormat="1" applyFont="1" applyBorder="1"/>
    <xf numFmtId="167" fontId="9" fillId="0" borderId="1" xfId="0" applyNumberFormat="1" applyFont="1" applyBorder="1" applyAlignment="1">
      <alignment horizontal="center"/>
    </xf>
    <xf numFmtId="0" fontId="10" fillId="0" borderId="0" xfId="0" applyFont="1"/>
    <xf numFmtId="0" fontId="10" fillId="7" borderId="0" xfId="0" applyFont="1" applyFill="1"/>
    <xf numFmtId="0" fontId="10" fillId="7" borderId="0" xfId="0" applyFont="1" applyFill="1" applyAlignment="1">
      <alignment horizontal="center"/>
    </xf>
    <xf numFmtId="0" fontId="10" fillId="7" borderId="0" xfId="0" applyFont="1" applyFill="1" applyProtection="1">
      <protection hidden="1"/>
    </xf>
    <xf numFmtId="0" fontId="10" fillId="6" borderId="0" xfId="0" applyFont="1" applyFill="1"/>
    <xf numFmtId="0" fontId="8" fillId="6" borderId="0" xfId="0" applyFont="1" applyFill="1" applyAlignment="1">
      <alignment horizontal="center"/>
    </xf>
    <xf numFmtId="0" fontId="11" fillId="8" borderId="0" xfId="0" applyFont="1" applyFill="1"/>
    <xf numFmtId="0" fontId="12" fillId="3" borderId="1" xfId="0" applyFont="1" applyFill="1" applyBorder="1" applyAlignment="1" applyProtection="1">
      <alignment horizontal="left"/>
      <protection locked="0"/>
    </xf>
    <xf numFmtId="164" fontId="12" fillId="3" borderId="1" xfId="0" applyNumberFormat="1" applyFont="1" applyFill="1" applyBorder="1" applyAlignment="1" applyProtection="1">
      <alignment horizontal="left"/>
      <protection locked="0"/>
    </xf>
    <xf numFmtId="0" fontId="13" fillId="6" borderId="0" xfId="0" applyFont="1" applyFill="1"/>
    <xf numFmtId="165" fontId="12" fillId="5" borderId="1" xfId="0" applyNumberFormat="1" applyFont="1" applyFill="1" applyBorder="1" applyAlignment="1">
      <alignment horizontal="center"/>
    </xf>
    <xf numFmtId="0" fontId="8" fillId="6" borderId="0" xfId="0" applyFont="1" applyFill="1"/>
    <xf numFmtId="0" fontId="8" fillId="7" borderId="0" xfId="0" applyFont="1" applyFill="1"/>
    <xf numFmtId="1" fontId="12" fillId="0" borderId="1" xfId="0" applyNumberFormat="1" applyFont="1" applyBorder="1" applyAlignment="1" applyProtection="1">
      <alignment horizontal="left"/>
      <protection locked="0"/>
    </xf>
    <xf numFmtId="0" fontId="3" fillId="3" borderId="1" xfId="1" applyFill="1" applyBorder="1" applyAlignment="1" applyProtection="1">
      <alignment horizontal="left"/>
      <protection locked="0"/>
    </xf>
    <xf numFmtId="168" fontId="12" fillId="3" borderId="1" xfId="0" applyNumberFormat="1" applyFont="1" applyFill="1" applyBorder="1" applyAlignment="1" applyProtection="1">
      <alignment horizontal="left" wrapText="1"/>
      <protection locked="0"/>
    </xf>
    <xf numFmtId="44" fontId="4" fillId="4" borderId="0" xfId="2" applyFont="1" applyFill="1"/>
    <xf numFmtId="44" fontId="1" fillId="0" borderId="0" xfId="2" applyFont="1"/>
    <xf numFmtId="0" fontId="4" fillId="4" borderId="4" xfId="0" applyFont="1" applyFill="1" applyBorder="1"/>
    <xf numFmtId="44" fontId="4" fillId="4" borderId="4" xfId="2" applyFont="1" applyFill="1" applyBorder="1"/>
    <xf numFmtId="13" fontId="1" fillId="0" borderId="0" xfId="2" applyNumberFormat="1" applyFont="1"/>
    <xf numFmtId="0" fontId="8" fillId="0" borderId="0" xfId="0" applyFont="1"/>
    <xf numFmtId="0" fontId="0" fillId="7" borderId="0" xfId="0" applyFill="1"/>
    <xf numFmtId="0" fontId="0" fillId="6" borderId="0" xfId="0" applyFill="1"/>
    <xf numFmtId="0" fontId="1" fillId="6" borderId="2" xfId="0" applyFont="1" applyFill="1" applyBorder="1"/>
    <xf numFmtId="0" fontId="1" fillId="6" borderId="0" xfId="0" applyFont="1" applyFill="1" applyAlignment="1">
      <alignment horizontal="center"/>
    </xf>
    <xf numFmtId="0" fontId="2" fillId="8" borderId="0" xfId="0" applyFont="1" applyFill="1"/>
    <xf numFmtId="169" fontId="8" fillId="5" borderId="0" xfId="0" applyNumberFormat="1" applyFont="1" applyFill="1" applyAlignment="1">
      <alignment horizontal="left"/>
    </xf>
    <xf numFmtId="44" fontId="8" fillId="5" borderId="0" xfId="2" applyFont="1" applyFill="1" applyAlignment="1" applyProtection="1">
      <alignment horizontal="left"/>
    </xf>
    <xf numFmtId="0" fontId="8" fillId="5" borderId="0" xfId="0" applyFont="1" applyFill="1"/>
    <xf numFmtId="44" fontId="8" fillId="5" borderId="0" xfId="2" applyFont="1" applyFill="1" applyProtection="1"/>
    <xf numFmtId="44" fontId="8" fillId="5" borderId="0" xfId="3" applyNumberFormat="1" applyFont="1" applyFill="1" applyProtection="1"/>
    <xf numFmtId="0" fontId="16" fillId="6" borderId="2" xfId="0" applyFont="1" applyFill="1" applyBorder="1"/>
    <xf numFmtId="44" fontId="16" fillId="6" borderId="2" xfId="0" applyNumberFormat="1" applyFont="1" applyFill="1" applyBorder="1"/>
    <xf numFmtId="164" fontId="8" fillId="5" borderId="0" xfId="2" applyNumberFormat="1" applyFont="1" applyFill="1" applyProtection="1"/>
    <xf numFmtId="9" fontId="1" fillId="0" borderId="0" xfId="3" applyFont="1"/>
    <xf numFmtId="44" fontId="16" fillId="6" borderId="0" xfId="2" applyFont="1" applyFill="1" applyAlignment="1" applyProtection="1">
      <alignment horizontal="center"/>
    </xf>
    <xf numFmtId="0" fontId="12" fillId="5" borderId="1" xfId="0" applyFont="1" applyFill="1" applyBorder="1" applyAlignment="1">
      <alignment horizontal="left"/>
    </xf>
    <xf numFmtId="0" fontId="1" fillId="11" borderId="5" xfId="0" applyFont="1" applyFill="1" applyBorder="1"/>
    <xf numFmtId="0" fontId="1" fillId="0" borderId="5" xfId="0" applyFont="1" applyBorder="1"/>
    <xf numFmtId="44" fontId="1" fillId="0" borderId="5" xfId="2" applyFont="1" applyBorder="1"/>
    <xf numFmtId="9" fontId="1" fillId="0" borderId="5" xfId="3" applyFont="1" applyBorder="1"/>
    <xf numFmtId="0" fontId="0" fillId="2" borderId="1" xfId="0" applyFill="1" applyBorder="1"/>
    <xf numFmtId="44" fontId="8" fillId="5" borderId="0" xfId="2" applyFont="1" applyFill="1" applyAlignment="1" applyProtection="1">
      <alignment horizontal="right"/>
    </xf>
    <xf numFmtId="0" fontId="1" fillId="0" borderId="1" xfId="0" applyFont="1" applyBorder="1"/>
    <xf numFmtId="0" fontId="8" fillId="0" borderId="1" xfId="0" applyFont="1" applyBorder="1"/>
    <xf numFmtId="0" fontId="18" fillId="0" borderId="1" xfId="0" applyFont="1" applyBorder="1"/>
    <xf numFmtId="0" fontId="5" fillId="3" borderId="1" xfId="0" applyFont="1" applyFill="1" applyBorder="1" applyAlignment="1" applyProtection="1">
      <alignment horizontal="left"/>
      <protection locked="0"/>
    </xf>
    <xf numFmtId="0" fontId="8" fillId="0" borderId="0" xfId="0" applyFont="1" applyProtection="1">
      <protection locked="0"/>
    </xf>
    <xf numFmtId="9" fontId="8" fillId="0" borderId="0" xfId="3" applyFont="1" applyFill="1" applyAlignment="1" applyProtection="1">
      <alignment horizontal="right"/>
      <protection locked="0"/>
    </xf>
    <xf numFmtId="169" fontId="8" fillId="0" borderId="0" xfId="0" applyNumberFormat="1" applyFont="1" applyAlignment="1" applyProtection="1">
      <alignment horizontal="left"/>
      <protection locked="0"/>
    </xf>
    <xf numFmtId="1" fontId="5" fillId="12" borderId="1" xfId="0" applyNumberFormat="1" applyFont="1" applyFill="1" applyBorder="1" applyAlignment="1" applyProtection="1">
      <alignment horizontal="right"/>
      <protection locked="0"/>
    </xf>
    <xf numFmtId="1" fontId="1" fillId="0" borderId="0" xfId="0" applyNumberFormat="1" applyFont="1"/>
    <xf numFmtId="1" fontId="1" fillId="0" borderId="5" xfId="2" applyNumberFormat="1" applyFont="1" applyBorder="1"/>
    <xf numFmtId="0" fontId="8" fillId="0" borderId="5" xfId="0" applyFont="1" applyBorder="1"/>
    <xf numFmtId="0" fontId="8" fillId="0" borderId="5" xfId="0" applyFont="1" applyBorder="1" applyProtection="1">
      <protection locked="0"/>
    </xf>
    <xf numFmtId="0" fontId="20" fillId="4" borderId="0" xfId="0" applyFont="1" applyFill="1" applyAlignment="1">
      <alignment wrapText="1"/>
    </xf>
    <xf numFmtId="1" fontId="4" fillId="4" borderId="0" xfId="0" applyNumberFormat="1" applyFont="1" applyFill="1" applyAlignment="1">
      <alignment wrapText="1"/>
    </xf>
    <xf numFmtId="0" fontId="19" fillId="4" borderId="0" xfId="0" applyFont="1" applyFill="1" applyAlignment="1">
      <alignment wrapText="1"/>
    </xf>
    <xf numFmtId="170" fontId="12" fillId="3" borderId="1" xfId="1" applyNumberFormat="1" applyFont="1" applyFill="1" applyBorder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left"/>
      <protection locked="0"/>
    </xf>
    <xf numFmtId="164" fontId="12" fillId="0" borderId="1" xfId="0" applyNumberFormat="1" applyFont="1" applyBorder="1" applyProtection="1">
      <protection locked="0"/>
    </xf>
    <xf numFmtId="1" fontId="12" fillId="0" borderId="1" xfId="0" applyNumberFormat="1" applyFont="1" applyBorder="1" applyProtection="1">
      <protection locked="0"/>
    </xf>
    <xf numFmtId="0" fontId="8" fillId="6" borderId="0" xfId="0" applyFont="1" applyFill="1" applyAlignment="1">
      <alignment horizontal="center"/>
    </xf>
    <xf numFmtId="0" fontId="6" fillId="9" borderId="0" xfId="0" applyFont="1" applyFill="1" applyAlignment="1">
      <alignment horizontal="center"/>
    </xf>
    <xf numFmtId="0" fontId="17" fillId="7" borderId="0" xfId="0" applyFont="1" applyFill="1" applyAlignment="1">
      <alignment horizontal="center"/>
    </xf>
    <xf numFmtId="0" fontId="11" fillId="8" borderId="0" xfId="0" applyFont="1" applyFill="1" applyAlignment="1">
      <alignment horizontal="left" vertical="center"/>
    </xf>
    <xf numFmtId="0" fontId="12" fillId="3" borderId="0" xfId="0" applyFont="1" applyFill="1" applyAlignment="1" applyProtection="1">
      <alignment horizontal="left" vertical="center" wrapText="1"/>
      <protection locked="0"/>
    </xf>
    <xf numFmtId="0" fontId="12" fillId="3" borderId="1" xfId="0" applyFont="1" applyFill="1" applyBorder="1" applyAlignment="1" applyProtection="1">
      <alignment horizontal="left" vertical="center" wrapText="1"/>
      <protection locked="0"/>
    </xf>
    <xf numFmtId="0" fontId="14" fillId="7" borderId="0" xfId="0" applyFont="1" applyFill="1" applyAlignment="1">
      <alignment horizontal="center"/>
    </xf>
    <xf numFmtId="0" fontId="7" fillId="10" borderId="0" xfId="0" applyFont="1" applyFill="1" applyAlignment="1">
      <alignment horizontal="center" vertical="center" textRotation="255"/>
    </xf>
  </cellXfs>
  <cellStyles count="4">
    <cellStyle name="Currency" xfId="2" builtinId="4"/>
    <cellStyle name="Hyperlink" xfId="1" builtinId="8"/>
    <cellStyle name="Normal" xfId="0" builtinId="0"/>
    <cellStyle name="Percent" xfId="3" builtinId="5"/>
  </cellStyles>
  <dxfs count="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border outline="0"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ahnschrif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ahnschrift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ahnschrift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4.9989318521683403E-2"/>
        <name val="Bahnschrift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638816</xdr:colOff>
      <xdr:row>18</xdr:row>
      <xdr:rowOff>207047</xdr:rowOff>
    </xdr:from>
    <xdr:to>
      <xdr:col>3</xdr:col>
      <xdr:colOff>2499782</xdr:colOff>
      <xdr:row>19</xdr:row>
      <xdr:rowOff>191978</xdr:rowOff>
    </xdr:to>
    <xdr:sp macro="[0]!limpiar_dato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DB9172-A6E0-5D04-6173-604BBD552AC3}"/>
            </a:ext>
          </a:extLst>
        </xdr:cNvPr>
        <xdr:cNvSpPr/>
      </xdr:nvSpPr>
      <xdr:spPr>
        <a:xfrm>
          <a:off x="1151146" y="3735627"/>
          <a:ext cx="3600000" cy="28799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  <a:reflection blurRad="6350" stA="50000" endA="300" endPos="55500" dist="50800" dir="5400000" sy="-100000" algn="bl" rotWithShape="0"/>
        </a:effectLst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  <a:latin typeface="Bahnschrift" panose="020B0502040204020203" pitchFamily="34" charset="0"/>
            </a:rPr>
            <a:t>LIMPIAR</a:t>
          </a:r>
          <a:r>
            <a:rPr lang="en-US" sz="1100" b="1" baseline="0">
              <a:solidFill>
                <a:schemeClr val="tx1"/>
              </a:solidFill>
              <a:latin typeface="Bahnschrift" panose="020B0502040204020203" pitchFamily="34" charset="0"/>
            </a:rPr>
            <a:t> (CTRL-SHIFT-L)</a:t>
          </a:r>
          <a:endParaRPr lang="en-US" sz="11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5</xdr:col>
      <xdr:colOff>805390</xdr:colOff>
      <xdr:row>18</xdr:row>
      <xdr:rowOff>210896</xdr:rowOff>
    </xdr:from>
    <xdr:to>
      <xdr:col>6</xdr:col>
      <xdr:colOff>2688003</xdr:colOff>
      <xdr:row>19</xdr:row>
      <xdr:rowOff>195827</xdr:rowOff>
    </xdr:to>
    <xdr:sp macro="[0]!reg_socio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84C1DF1-95DC-4500-8F87-5BC52C4DD093}"/>
            </a:ext>
          </a:extLst>
        </xdr:cNvPr>
        <xdr:cNvSpPr/>
      </xdr:nvSpPr>
      <xdr:spPr>
        <a:xfrm>
          <a:off x="7198685" y="3739476"/>
          <a:ext cx="3600000" cy="287999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  <a:reflection blurRad="6350" stA="52000" endA="300" endPos="35000" dir="5400000" sy="-100000" algn="bl" rotWithShape="0"/>
        </a:effectLst>
        <a:scene3d>
          <a:camera prst="orthographicFront">
            <a:rot lat="0" lon="300000" rev="0"/>
          </a:camera>
          <a:lightRig rig="threePt" dir="t"/>
        </a:scene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  <a:latin typeface="Bahnschrift" panose="020B0502040204020203" pitchFamily="34" charset="0"/>
            </a:rPr>
            <a:t>REGISTRAR (CTRL-SHIFT-R)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682624</xdr:colOff>
      <xdr:row>21</xdr:row>
      <xdr:rowOff>142875</xdr:rowOff>
    </xdr:from>
    <xdr:to>
      <xdr:col>3</xdr:col>
      <xdr:colOff>1935049</xdr:colOff>
      <xdr:row>23</xdr:row>
      <xdr:rowOff>34320</xdr:rowOff>
    </xdr:to>
    <xdr:sp macro="[0]!clean_me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3A5D6C5-185A-4DF9-98FF-336D0B2A7D54}"/>
            </a:ext>
          </a:extLst>
        </xdr:cNvPr>
        <xdr:cNvSpPr/>
      </xdr:nvSpPr>
      <xdr:spPr>
        <a:xfrm>
          <a:off x="1777999" y="4397375"/>
          <a:ext cx="3744800" cy="28832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  <a:reflection blurRad="6350" stA="50000" endA="300" endPos="55500" dist="50800" dir="5400000" sy="-100000" algn="bl" rotWithShape="0"/>
        </a:effectLst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  <a:latin typeface="Bahnschrift" panose="020B0502040204020203" pitchFamily="34" charset="0"/>
            </a:rPr>
            <a:t>LIMPIAR</a:t>
          </a:r>
          <a:r>
            <a:rPr lang="en-US" sz="1100" b="1" baseline="0">
              <a:solidFill>
                <a:schemeClr val="tx1"/>
              </a:solidFill>
              <a:latin typeface="Bahnschrift" panose="020B0502040204020203" pitchFamily="34" charset="0"/>
            </a:rPr>
            <a:t> (CTRL-SHIFT-L)</a:t>
          </a:r>
          <a:endParaRPr lang="en-US" sz="11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6</xdr:col>
      <xdr:colOff>738188</xdr:colOff>
      <xdr:row>21</xdr:row>
      <xdr:rowOff>103188</xdr:rowOff>
    </xdr:from>
    <xdr:to>
      <xdr:col>7</xdr:col>
      <xdr:colOff>1990613</xdr:colOff>
      <xdr:row>22</xdr:row>
      <xdr:rowOff>193070</xdr:rowOff>
    </xdr:to>
    <xdr:sp macro="[0]!reg_m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10E35DB-164C-47A6-A460-1F6AFB18AC02}"/>
            </a:ext>
          </a:extLst>
        </xdr:cNvPr>
        <xdr:cNvSpPr/>
      </xdr:nvSpPr>
      <xdr:spPr>
        <a:xfrm>
          <a:off x="8223251" y="4357688"/>
          <a:ext cx="3744800" cy="28832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effectLst>
          <a:innerShdw blurRad="114300">
            <a:prstClr val="black"/>
          </a:innerShdw>
          <a:reflection blurRad="6350" stA="50000" endA="300" endPos="55500" dist="50800" dir="5400000" sy="-100000" algn="bl" rotWithShape="0"/>
        </a:effectLst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chemeClr val="tx1"/>
              </a:solidFill>
              <a:latin typeface="Bahnschrift" panose="020B0502040204020203" pitchFamily="34" charset="0"/>
            </a:rPr>
            <a:t>REGISTRAR</a:t>
          </a:r>
          <a:r>
            <a:rPr lang="en-US" sz="1100" b="1" baseline="0">
              <a:solidFill>
                <a:schemeClr val="tx1"/>
              </a:solidFill>
              <a:latin typeface="Bahnschrift" panose="020B0502040204020203" pitchFamily="34" charset="0"/>
            </a:rPr>
            <a:t> MEMBRESIA(CTRL-SHIFT-S)</a:t>
          </a:r>
          <a:endParaRPr lang="en-US" sz="1100" b="1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21CB2394-FB4E-4902-9E6F-7FC945E5AE3F}" name="Id" displayName="Id" ref="B1:B8" totalsRowShown="0" headerRowDxfId="79" dataDxfId="78">
  <autoFilter ref="B1:B8" xr:uid="{21CB2394-FB4E-4902-9E6F-7FC945E5AE3F}"/>
  <tableColumns count="1">
    <tableColumn id="1" xr3:uid="{B2B9741B-A80A-4BDC-ADFD-C292B01DF66B}" name="Id" dataDxfId="7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F55EB8-9E2E-492E-8A18-3647E82FB5EA}" name="estatus" displayName="estatus" ref="M1:M4" totalsRowShown="0" headerRowDxfId="76" dataDxfId="75">
  <autoFilter ref="M1:M4" xr:uid="{C1F55EB8-9E2E-492E-8A18-3647E82FB5EA}"/>
  <tableColumns count="1">
    <tableColumn id="1" xr3:uid="{4E6288A5-EE75-40F5-9B61-33FBB997B43E}" name="estatus" dataDxfId="7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F4DF94-7B6D-4720-90BB-EE468A6D4943}" name="Aguascalientes" displayName="Aguascalientes" ref="AJ1:AJ12" totalsRowShown="0" headerRowDxfId="73">
  <autoFilter ref="AJ1:AJ12" xr:uid="{F1F4DF94-7B6D-4720-90BB-EE468A6D4943}"/>
  <tableColumns count="1">
    <tableColumn id="1" xr3:uid="{8B574206-CDAD-43E7-8918-7816C8486ADA}" name="Aguascalien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461B7BA-68EF-404C-9A73-54A0A40FC64D}" name="Baja_California" displayName="Baja_California" ref="AK1:AK6" totalsRowShown="0" headerRowDxfId="72">
  <autoFilter ref="AK1:AK6" xr:uid="{D461B7BA-68EF-404C-9A73-54A0A40FC64D}"/>
  <tableColumns count="1">
    <tableColumn id="1" xr3:uid="{75923F88-3A8B-46F9-B9B0-BE628541FE04}" name="Baja_Californi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4B6F926-6537-478F-8DE6-4A0A9A4C49D3}" name="Baja_California_Sur" displayName="Baja_California_Sur" ref="AL1:AL6" totalsRowShown="0" headerRowDxfId="71">
  <autoFilter ref="AL1:AL6" xr:uid="{A4B6F926-6537-478F-8DE6-4A0A9A4C49D3}"/>
  <tableColumns count="1">
    <tableColumn id="1" xr3:uid="{7BEAE0CE-BBDE-4C19-AC18-78249A297498}" name="Baja_California_Sur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6748B6B-5A8E-41AF-8076-049D9B56CBAF}" name="Campeche" displayName="Campeche" ref="AM1:AM14" totalsRowShown="0" headerRowDxfId="70">
  <autoFilter ref="AM1:AM14" xr:uid="{D6748B6B-5A8E-41AF-8076-049D9B56CBAF}"/>
  <tableColumns count="1">
    <tableColumn id="1" xr3:uid="{0A543FF5-D141-48D6-B757-6892F3684711}" name="Campech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3DD8B7-D333-4737-8AFA-851108FA05F1}" name="Chiapas" displayName="Chiapas" ref="AN1:AN125" totalsRowShown="0" headerRowDxfId="69">
  <autoFilter ref="AN1:AN125" xr:uid="{673DD8B7-D333-4737-8AFA-851108FA05F1}"/>
  <tableColumns count="1">
    <tableColumn id="1" xr3:uid="{A246D24F-B464-4EA1-BB5B-EDF2BBDD384A}" name="Chiapa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9F8354F-669C-446C-98B0-C6E2BF7AFFC7}" name="Chihuahua" displayName="Chihuahua" ref="AO1:AO68" totalsRowShown="0" headerRowDxfId="68">
  <autoFilter ref="AO1:AO68" xr:uid="{A9F8354F-669C-446C-98B0-C6E2BF7AFFC7}"/>
  <tableColumns count="1">
    <tableColumn id="1" xr3:uid="{456A698D-5F7E-48B8-B425-8C8FD2D63E29}" name="Chihuahu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51FD01F-1F2A-4B34-9A46-4C341F738DBD}" name="Ciudad_de_México" displayName="Ciudad_de_México" ref="AP1:AP17" totalsRowShown="0" headerRowDxfId="67">
  <autoFilter ref="AP1:AP17" xr:uid="{D51FD01F-1F2A-4B34-9A46-4C341F738DBD}"/>
  <tableColumns count="1">
    <tableColumn id="1" xr3:uid="{AC01153F-0CB2-4C72-A6DE-F03F07C61B95}" name="Ciudad_de_México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1051868-E635-47C6-AF19-F2251B5166EF}" name="Coahuila" displayName="Coahuila" ref="AQ1:AQ39" totalsRowShown="0" headerRowDxfId="66">
  <autoFilter ref="AQ1:AQ39" xr:uid="{91051868-E635-47C6-AF19-F2251B5166EF}"/>
  <tableColumns count="1">
    <tableColumn id="1" xr3:uid="{A1F5174F-863F-4D74-BB33-C99C549330FA}" name="Coahuil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21AD80-23E4-4FF7-BDE4-D90A6568229A}" name="Colima" displayName="Colima" ref="AR1:AR11" totalsRowShown="0" headerRowDxfId="65">
  <autoFilter ref="AR1:AR11" xr:uid="{E321AD80-23E4-4FF7-BDE4-D90A6568229A}"/>
  <tableColumns count="1">
    <tableColumn id="1" xr3:uid="{FEEECD43-9F45-4740-8C78-468184C4F470}" name="Colim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CE42A4D-7CF1-4826-B9D6-31F4762413DF}" name="Durango" displayName="Durango" ref="AS1:AS40" totalsRowShown="0" headerRowDxfId="64">
  <autoFilter ref="AS1:AS40" xr:uid="{ECE42A4D-7CF1-4826-B9D6-31F4762413DF}"/>
  <tableColumns count="1">
    <tableColumn id="1" xr3:uid="{23FDB9B4-6DDC-44F8-BF9F-D374647DEF23}" name="Durango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886F5D-1F25-4D4D-9C73-D40B954B328C}" name="Estado_de_México" displayName="Estado_de_México" ref="AT1:AT126" totalsRowShown="0" headerRowDxfId="63">
  <autoFilter ref="AT1:AT126" xr:uid="{8C886F5D-1F25-4D4D-9C73-D40B954B328C}"/>
  <tableColumns count="1">
    <tableColumn id="1" xr3:uid="{57C103A5-5699-486B-95B2-69CBB483997B}" name="Estado_de_México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16EE08D-C779-4BA7-BA9D-3C38A786A809}" name="Guanajuato" displayName="Guanajuato" ref="AU1:AU47" totalsRowShown="0" headerRowDxfId="62">
  <autoFilter ref="AU1:AU47" xr:uid="{716EE08D-C779-4BA7-BA9D-3C38A786A809}"/>
  <tableColumns count="1">
    <tableColumn id="1" xr3:uid="{EFD882B6-7BE0-4C23-896B-8DE4CBCE1F86}" name="Guanajuato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D7452FB-2252-4F97-AA88-8131DD7EFEB7}" name="Querétaro" displayName="Querétaro" ref="BE1:BE19" totalsRowShown="0" headerRowDxfId="61">
  <autoFilter ref="BE1:BE19" xr:uid="{BD7452FB-2252-4F97-AA88-8131DD7EFEB7}"/>
  <tableColumns count="1">
    <tableColumn id="1" xr3:uid="{0340B562-ADA3-42D3-9D68-99A3860A8A50}" name="Querétaro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29D4E2-02D3-4608-85A9-079C7614A6B9}" name="Guerrero" displayName="Guerrero" ref="AV1:AV82" totalsRowShown="0" headerRowDxfId="60">
  <autoFilter ref="AV1:AV82" xr:uid="{7C29D4E2-02D3-4608-85A9-079C7614A6B9}"/>
  <tableColumns count="1">
    <tableColumn id="1" xr3:uid="{0A6864F1-1C96-48F2-8AC2-EFBCFC6C75C6}" name="Guerrer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453AB22-BDF2-4627-AD61-02416860DD8D}" name="Hidalgo" displayName="Hidalgo" ref="AW1:AW85" totalsRowShown="0" headerRowDxfId="59">
  <autoFilter ref="AW1:AW85" xr:uid="{E453AB22-BDF2-4627-AD61-02416860DD8D}"/>
  <tableColumns count="1">
    <tableColumn id="1" xr3:uid="{2E417C37-4CB2-4CE3-96DF-EF2110398E90}" name="Hidalgo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A95AEA8-A03E-4688-82C9-441CF43C7A6D}" name="Jalisco" displayName="Jalisco" ref="AX1:AX126" totalsRowShown="0" headerRowDxfId="58">
  <autoFilter ref="AX1:AX126" xr:uid="{BA95AEA8-A03E-4688-82C9-441CF43C7A6D}"/>
  <tableColumns count="1">
    <tableColumn id="1" xr3:uid="{F010CEED-CA3D-4E34-9EEE-ECFBAC53DFD6}" name="Jalisco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E16BCD95-29BC-43A6-8F86-AA01099FAED2}" name="Michoacán" displayName="Michoacán" ref="AY1:AY114" totalsRowShown="0" headerRowDxfId="57">
  <autoFilter ref="AY1:AY114" xr:uid="{E16BCD95-29BC-43A6-8F86-AA01099FAED2}"/>
  <tableColumns count="1">
    <tableColumn id="1" xr3:uid="{DF9FFE58-4508-4EDE-84C1-093867AC618D}" name="Michoacán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A3159395-1C7C-473A-B95A-2A0F53C34AA2}" name="Morelos" displayName="Morelos" ref="AZ1:AZ34" totalsRowShown="0" headerRowDxfId="56">
  <autoFilter ref="AZ1:AZ34" xr:uid="{A3159395-1C7C-473A-B95A-2A0F53C34AA2}"/>
  <tableColumns count="1">
    <tableColumn id="1" xr3:uid="{E446BE19-07DC-475C-AC37-CE526272ABBD}" name="Morelos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094D8BC-8657-4E26-ACEC-987D16538A7A}" name="Nayarit" displayName="Nayarit" ref="BA1:BA21" totalsRowShown="0" headerRowDxfId="55">
  <autoFilter ref="BA1:BA21" xr:uid="{D094D8BC-8657-4E26-ACEC-987D16538A7A}"/>
  <tableColumns count="1">
    <tableColumn id="1" xr3:uid="{5E92FB2A-80D2-4E07-AAA0-2E131E389A35}" name="Nayarit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F76ACB0-6581-4A70-AFE5-E39DE21E7732}" name="Nuevo_León" displayName="Nuevo_León" ref="BB1:BB52" totalsRowShown="0" headerRowDxfId="54">
  <autoFilter ref="BB1:BB52" xr:uid="{BF76ACB0-6581-4A70-AFE5-E39DE21E7732}"/>
  <tableColumns count="1">
    <tableColumn id="1" xr3:uid="{DA2CD66A-54A4-49AA-81B8-9CB25D22EF05}" name="Nuevo_Leó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8C60476-5134-4104-90D7-0694CD399BDD}" name="Oaxaca" displayName="Oaxaca" ref="BC1:BC571" totalsRowShown="0" headerRowDxfId="53">
  <autoFilter ref="BC1:BC571" xr:uid="{78C60476-5134-4104-90D7-0694CD399BDD}"/>
  <tableColumns count="1">
    <tableColumn id="1" xr3:uid="{B475CA46-5F07-4544-8F2E-63AE302F312A}" name="Oaxaca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D61ABC4-2670-4567-AE00-75EE07DE3795}" name="Puebla" displayName="Puebla" ref="BD1:BD218" totalsRowShown="0" headerRowDxfId="52">
  <autoFilter ref="BD1:BD218" xr:uid="{FD61ABC4-2670-4567-AE00-75EE07DE3795}"/>
  <tableColumns count="1">
    <tableColumn id="1" xr3:uid="{2BF43A70-9880-4698-B24D-92DDC426A2FD}" name="Puebla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85AB12FC-AA04-4E66-A5C0-54A230DE2617}" name="Quintana_Roo" displayName="Quintana_Roo" ref="BF1:BF40" totalsRowShown="0" headerRowDxfId="51">
  <autoFilter ref="BF1:BF40" xr:uid="{85AB12FC-AA04-4E66-A5C0-54A230DE2617}"/>
  <tableColumns count="1">
    <tableColumn id="1" xr3:uid="{206465D2-C899-430B-9EA1-943CD93D6943}" name="Quintana_Roo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50621C7-33CF-4198-AF62-FD3210C0932A}" name="San_Luis_Potosí" displayName="San_Luis_Potosí" ref="BG1:BG31" totalsRowShown="0" headerRowDxfId="50">
  <autoFilter ref="BG1:BG31" xr:uid="{F50621C7-33CF-4198-AF62-FD3210C0932A}"/>
  <tableColumns count="1">
    <tableColumn id="1" xr3:uid="{9AE5DE7A-649C-4C64-91D3-EAF4984B461C}" name="San_Luis_Potosí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E85758A-C370-458C-A3BA-F5BC02549440}" name="Sinaloa" displayName="Sinaloa" ref="BH1:BH19" totalsRowShown="0" headerRowDxfId="49">
  <autoFilter ref="BH1:BH19" xr:uid="{AE85758A-C370-458C-A3BA-F5BC02549440}"/>
  <tableColumns count="1">
    <tableColumn id="1" xr3:uid="{27EFC84D-7F45-4753-ABB4-86CAC7B2254A}" name="Sinaloa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3228F5ED-57A0-4332-866D-1C705661504D}" name="Sonora" displayName="Sonora" ref="BI1:BI73" totalsRowShown="0" headerRowDxfId="48">
  <autoFilter ref="BI1:BI73" xr:uid="{3228F5ED-57A0-4332-866D-1C705661504D}"/>
  <tableColumns count="1">
    <tableColumn id="1" xr3:uid="{E2F8C992-E797-44B1-922A-5525BE235CA4}" name="Sonora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7E86DB0-A77E-4354-B9EC-22E5D14C9F27}" name="Tabasco" displayName="Tabasco" ref="BJ1:BJ18" totalsRowShown="0" headerRowDxfId="47">
  <autoFilter ref="BJ1:BJ18" xr:uid="{47E86DB0-A77E-4354-B9EC-22E5D14C9F27}"/>
  <tableColumns count="1">
    <tableColumn id="1" xr3:uid="{3440C167-2334-4E58-BC90-BC35CE26A7F6}" name="Tabasco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D25D9260-E77A-4E06-AF2A-594E22E8ABC0}" name="Tamaulipas" displayName="Tamaulipas" ref="BK1:BK44" totalsRowShown="0" headerRowDxfId="46">
  <autoFilter ref="BK1:BK44" xr:uid="{D25D9260-E77A-4E06-AF2A-594E22E8ABC0}"/>
  <tableColumns count="1">
    <tableColumn id="1" xr3:uid="{6978706C-6E43-4A3E-8104-570D0A81B465}" name="Tamaulipas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27C58B10-6E48-4546-B183-319CCA80D16C}" name="Tlaxcala" displayName="Tlaxcala" ref="BL1:BL61" totalsRowShown="0" headerRowDxfId="45">
  <autoFilter ref="BL1:BL61" xr:uid="{27C58B10-6E48-4546-B183-319CCA80D16C}"/>
  <tableColumns count="1">
    <tableColumn id="1" xr3:uid="{EDE9637C-0F6E-4BEC-A22E-5EA9A30711AC}" name="Tlaxcala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D50CE5B-B378-4879-99CE-2AF578F00C36}" name="Veracruz" displayName="Veracruz" ref="BM1:BM213" totalsRowShown="0" headerRowDxfId="44">
  <autoFilter ref="BM1:BM213" xr:uid="{DD50CE5B-B378-4879-99CE-2AF578F00C36}"/>
  <tableColumns count="1">
    <tableColumn id="1" xr3:uid="{DF3D3C1F-8943-4C67-8083-A1F7411910A9}" name="Veracruz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A2FC51F-E907-44F6-945C-B1034AD627B9}" name="Yucatán" displayName="Yucatán" ref="BN1:BN107" totalsRowShown="0" headerRowDxfId="43">
  <autoFilter ref="BN1:BN107" xr:uid="{FA2FC51F-E907-44F6-945C-B1034AD627B9}"/>
  <tableColumns count="1">
    <tableColumn id="1" xr3:uid="{DD9E29C1-2D8E-470C-936A-A7A220D9EB98}" name="Yucatán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3BE344D-6710-4A8F-BF22-5A2BC2DA889A}" name="Zacatecas" displayName="Zacatecas" ref="BO1:BO59" totalsRowShown="0" headerRowDxfId="42">
  <autoFilter ref="BO1:BO59" xr:uid="{03BE344D-6710-4A8F-BF22-5A2BC2DA889A}"/>
  <tableColumns count="1">
    <tableColumn id="1" xr3:uid="{5E3391AC-EAC0-486A-BB5A-AC1BF3CCBF8D}" name="Zacatecas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2EBD9AF-4427-4370-A5A5-D89CF4E2DE48}" name="Sexo" displayName="Sexo" ref="A1:A4" totalsRowShown="0" headerRowDxfId="41" dataDxfId="40">
  <autoFilter ref="A1:A4" xr:uid="{B2EBD9AF-4427-4370-A5A5-D89CF4E2DE48}"/>
  <tableColumns count="1">
    <tableColumn id="1" xr3:uid="{3DAD7C56-2CA2-4911-9D5A-B11D1BCAA5F4}" name="Sexo" dataDxfId="39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06DCDAC-408E-4FAC-99F1-C605CFCA944D}" name="Bancos" displayName="Bancos" ref="C1:C4" totalsRowShown="0" headerRowDxfId="38" dataDxfId="37">
  <autoFilter ref="C1:C4" xr:uid="{F06DCDAC-408E-4FAC-99F1-C605CFCA944D}"/>
  <tableColumns count="1">
    <tableColumn id="1" xr3:uid="{9505253C-A37F-4E36-BEF0-521F774D3C80}" name="Bancos" dataDxfId="36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621BA0F-8188-4409-8B55-D6741EA63FF1}" name="Tipo_Monto" displayName="Tipo_Monto" ref="E1:E2" totalsRowShown="0" headerRowDxfId="35" dataDxfId="34">
  <autoFilter ref="E1:E2" xr:uid="{0621BA0F-8188-4409-8B55-D6741EA63FF1}"/>
  <tableColumns count="1">
    <tableColumn id="1" xr3:uid="{98C8BD38-212D-4753-A757-CFDE9E03EA61}" name="Tipo_Monto" dataDxfId="33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4C25F06-AB92-41A7-9629-9CD9FA0E4B63}" name="Forma_Pago" displayName="Forma_Pago" ref="G1:G4" totalsRowShown="0" headerRowDxfId="32" dataDxfId="31">
  <autoFilter ref="G1:G4" xr:uid="{14C25F06-AB92-41A7-9629-9CD9FA0E4B63}"/>
  <tableColumns count="1">
    <tableColumn id="1" xr3:uid="{05B9520D-64FB-46A3-A1AC-89E85F295FC7}" name="Forma_Pago" dataDxfId="3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62080F29-E872-4D9C-AB32-26856942BAD0}" name="Conceptos" displayName="Conceptos" ref="I1:K6" totalsRowShown="0" headerRowDxfId="29" dataDxfId="28">
  <autoFilter ref="I1:K6" xr:uid="{62080F29-E872-4D9C-AB32-26856942BAD0}"/>
  <tableColumns count="3">
    <tableColumn id="1" xr3:uid="{3D22C991-F65B-46C2-9A93-0B09E792FC0F}" name="Conceptos" dataDxfId="27"/>
    <tableColumn id="2" xr3:uid="{80A74830-1DD2-4EBE-B87D-E8A6E5F49997}" name="cuota" dataDxfId="26" dataCellStyle="Currency"/>
    <tableColumn id="3" xr3:uid="{55EB9F0C-5934-44F0-AF73-D9830C0ACDB9}" name="dias" dataDxfId="25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2DC4EFD3-ADCD-4D91-8C9B-CA25BF6329D5}" name="Tipo_Mem" displayName="Tipo_Mem" ref="O1:V5" totalsRowShown="0" headerRowDxfId="24" dataDxfId="22" headerRowBorderDxfId="23" tableBorderDxfId="21">
  <autoFilter ref="O1:V5" xr:uid="{2DC4EFD3-ADCD-4D91-8C9B-CA25BF6329D5}"/>
  <tableColumns count="8">
    <tableColumn id="1" xr3:uid="{A8AEE91B-DA4F-4414-8D24-09E598ED4D6A}" name="Tipo_Mem" dataDxfId="20"/>
    <tableColumn id="2" xr3:uid="{20C2B10D-24DD-44CA-9C86-D64CEE01001B}" name="días" dataDxfId="19"/>
    <tableColumn id="8" xr3:uid="{24BAEB7F-0122-4E3C-A467-5D47EF0616D6}" name="dias-max" dataDxfId="18"/>
    <tableColumn id="3" xr3:uid="{CF01073A-387C-4C66-BA88-C308C83A6F23}" name="inscripcion" dataDxfId="17" dataCellStyle="Currency"/>
    <tableColumn id="4" xr3:uid="{F8F9E9E5-8E92-4819-B3D5-34CE5B078C51}" name="cuotas" dataDxfId="16" dataCellStyle="Currency"/>
    <tableColumn id="5" xr3:uid="{3A669723-D2E8-49ED-89F2-201F07C9544E}" name="cuota mes" dataDxfId="15" dataCellStyle="Currency"/>
    <tableColumn id="6" xr3:uid="{54A6E374-0AB2-4187-B073-C8400E5F6F9A}" name="cuota mes2" dataDxfId="14" dataCellStyle="Currency"/>
    <tableColumn id="7" xr3:uid="{CC017C38-6AC6-4E48-A6B3-AA37D817C4CF}" name="cuota total" dataDxfId="13" dataCellStyle="Currency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122DA31-71EE-4D2E-B5D1-4BE655FAB09E}" name="Vigente" displayName="Vigente" ref="AB1:AB3" totalsRowShown="0" headerRowDxfId="12" dataDxfId="10" headerRowBorderDxfId="11" tableBorderDxfId="9">
  <autoFilter ref="AB1:AB3" xr:uid="{8122DA31-71EE-4D2E-B5D1-4BE655FAB09E}"/>
  <tableColumns count="1">
    <tableColumn id="1" xr3:uid="{42D9687B-2E37-41A6-8893-60D8916301BC}" name="Vigente" dataDxfId="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0F36C9-5F08-41A0-9DA6-A6FA51CE76BF}" name="Dias" displayName="Dias" ref="X1:Z8" totalsRowShown="0" headerRowDxfId="7" dataDxfId="6">
  <autoFilter ref="X1:Z8" xr:uid="{8C0F36C9-5F08-41A0-9DA6-A6FA51CE76BF}"/>
  <tableColumns count="3">
    <tableColumn id="1" xr3:uid="{02921609-F543-4A15-9629-4FCF30BC6CA6}" name="Dias" dataDxfId="5"/>
    <tableColumn id="2" xr3:uid="{E188C7BB-933F-486D-ADD8-9748FB2E584F}" name="WD" dataDxfId="4"/>
    <tableColumn id="3" xr3:uid="{9B909945-0500-430A-95CB-3B6DDC5F1048}" name="rest" dataDxfId="3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43F07D-3E59-4635-A944-2516ECAA12ED}" name="descuento" displayName="descuento" ref="AD1:AD6" totalsRowShown="0" headerRowDxfId="2" dataDxfId="1" dataCellStyle="Percent">
  <autoFilter ref="AD1:AD6" xr:uid="{0043F07D-3E59-4635-A944-2516ECAA12ED}"/>
  <tableColumns count="1">
    <tableColumn id="1" xr3:uid="{49AE39D1-2F53-4190-B003-D2F5B52F2C4E}" name="descuento" dataDxfId="0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26" Type="http://schemas.openxmlformats.org/officeDocument/2006/relationships/table" Target="../tables/table27.xml"/><Relationship Id="rId39" Type="http://schemas.openxmlformats.org/officeDocument/2006/relationships/table" Target="../tables/table40.xml"/><Relationship Id="rId21" Type="http://schemas.openxmlformats.org/officeDocument/2006/relationships/table" Target="../tables/table22.xml"/><Relationship Id="rId34" Type="http://schemas.openxmlformats.org/officeDocument/2006/relationships/table" Target="../tables/table35.xml"/><Relationship Id="rId42" Type="http://schemas.openxmlformats.org/officeDocument/2006/relationships/table" Target="../tables/table43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6" Type="http://schemas.openxmlformats.org/officeDocument/2006/relationships/table" Target="../tables/table17.xml"/><Relationship Id="rId20" Type="http://schemas.openxmlformats.org/officeDocument/2006/relationships/table" Target="../tables/table21.xml"/><Relationship Id="rId29" Type="http://schemas.openxmlformats.org/officeDocument/2006/relationships/table" Target="../tables/table30.xml"/><Relationship Id="rId41" Type="http://schemas.openxmlformats.org/officeDocument/2006/relationships/table" Target="../tables/table42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24" Type="http://schemas.openxmlformats.org/officeDocument/2006/relationships/table" Target="../tables/table25.xml"/><Relationship Id="rId32" Type="http://schemas.openxmlformats.org/officeDocument/2006/relationships/table" Target="../tables/table33.xml"/><Relationship Id="rId37" Type="http://schemas.openxmlformats.org/officeDocument/2006/relationships/table" Target="../tables/table38.xml"/><Relationship Id="rId40" Type="http://schemas.openxmlformats.org/officeDocument/2006/relationships/table" Target="../tables/table41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23" Type="http://schemas.openxmlformats.org/officeDocument/2006/relationships/table" Target="../tables/table24.xml"/><Relationship Id="rId28" Type="http://schemas.openxmlformats.org/officeDocument/2006/relationships/table" Target="../tables/table29.xml"/><Relationship Id="rId36" Type="http://schemas.openxmlformats.org/officeDocument/2006/relationships/table" Target="../tables/table37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31" Type="http://schemas.openxmlformats.org/officeDocument/2006/relationships/table" Target="../tables/table32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Relationship Id="rId22" Type="http://schemas.openxmlformats.org/officeDocument/2006/relationships/table" Target="../tables/table23.xml"/><Relationship Id="rId27" Type="http://schemas.openxmlformats.org/officeDocument/2006/relationships/table" Target="../tables/table28.xml"/><Relationship Id="rId30" Type="http://schemas.openxmlformats.org/officeDocument/2006/relationships/table" Target="../tables/table31.xml"/><Relationship Id="rId35" Type="http://schemas.openxmlformats.org/officeDocument/2006/relationships/table" Target="../tables/table36.xml"/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5" Type="http://schemas.openxmlformats.org/officeDocument/2006/relationships/table" Target="../tables/table26.xml"/><Relationship Id="rId33" Type="http://schemas.openxmlformats.org/officeDocument/2006/relationships/table" Target="../tables/table34.xml"/><Relationship Id="rId38" Type="http://schemas.openxmlformats.org/officeDocument/2006/relationships/table" Target="../tables/table3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78CD0-DAB0-4B9F-A1D2-AD37287B7506}">
  <sheetPr codeName="Sheet1">
    <pageSetUpPr fitToPage="1"/>
  </sheetPr>
  <dimension ref="A1:J21"/>
  <sheetViews>
    <sheetView zoomScale="80" zoomScaleNormal="80" workbookViewId="0">
      <selection activeCell="G10" sqref="G10"/>
    </sheetView>
  </sheetViews>
  <sheetFormatPr defaultColWidth="0" defaultRowHeight="0" customHeight="1" zeroHeight="1" x14ac:dyDescent="0.3"/>
  <cols>
    <col min="1" max="2" width="5.6640625" style="24" customWidth="1"/>
    <col min="3" max="3" width="27" style="24" customWidth="1"/>
    <col min="4" max="4" width="50.6640625" style="24" customWidth="1"/>
    <col min="5" max="5" width="10.6640625" style="24" customWidth="1"/>
    <col min="6" max="6" width="24.6640625" style="24" customWidth="1"/>
    <col min="7" max="7" width="50.6640625" style="24" customWidth="1"/>
    <col min="8" max="8" width="10.6640625" style="24" customWidth="1"/>
    <col min="9" max="10" width="0" style="24" hidden="1" customWidth="1"/>
    <col min="11" max="16384" width="8.77734375" style="24" hidden="1"/>
  </cols>
  <sheetData>
    <row r="1" spans="1:8" ht="17.399999999999999" x14ac:dyDescent="0.3">
      <c r="A1" s="88" t="s">
        <v>28</v>
      </c>
      <c r="B1" s="88"/>
      <c r="C1" s="88"/>
      <c r="D1" s="88"/>
      <c r="E1" s="88"/>
      <c r="F1" s="88"/>
      <c r="G1" s="88"/>
      <c r="H1" s="88"/>
    </row>
    <row r="2" spans="1:8" ht="15" customHeight="1" x14ac:dyDescent="0.35">
      <c r="A2" s="25"/>
      <c r="B2" s="26"/>
      <c r="C2" s="89" t="str">
        <f>+D4&amp;" "&amp;D5&amp;" "&amp;D6</f>
        <v xml:space="preserve">  </v>
      </c>
      <c r="D2" s="89"/>
      <c r="E2" s="89"/>
      <c r="F2" s="89"/>
      <c r="G2" s="89"/>
      <c r="H2" s="27"/>
    </row>
    <row r="3" spans="1:8" ht="15.6" x14ac:dyDescent="0.3">
      <c r="A3" s="25"/>
      <c r="B3" s="26"/>
      <c r="C3" s="28"/>
      <c r="D3" s="28"/>
      <c r="E3" s="25"/>
      <c r="F3" s="87"/>
      <c r="G3" s="87"/>
      <c r="H3" s="27"/>
    </row>
    <row r="4" spans="1:8" ht="15.6" x14ac:dyDescent="0.3">
      <c r="A4" s="25"/>
      <c r="B4" s="26"/>
      <c r="C4" s="30" t="s">
        <v>3</v>
      </c>
      <c r="D4" s="31"/>
      <c r="E4" s="25"/>
      <c r="F4" s="90" t="s">
        <v>1</v>
      </c>
      <c r="G4" s="91"/>
      <c r="H4" s="27"/>
    </row>
    <row r="5" spans="1:8" ht="15.6" x14ac:dyDescent="0.3">
      <c r="A5" s="25"/>
      <c r="B5" s="26"/>
      <c r="C5" s="30" t="s">
        <v>4</v>
      </c>
      <c r="D5" s="31"/>
      <c r="E5" s="25"/>
      <c r="F5" s="90"/>
      <c r="G5" s="92"/>
      <c r="H5" s="27"/>
    </row>
    <row r="6" spans="1:8" ht="15.6" x14ac:dyDescent="0.3">
      <c r="A6" s="25"/>
      <c r="B6" s="26"/>
      <c r="C6" s="30" t="s">
        <v>5</v>
      </c>
      <c r="D6" s="31"/>
      <c r="E6" s="25"/>
      <c r="F6" s="30" t="s">
        <v>43</v>
      </c>
      <c r="G6" s="39"/>
      <c r="H6" s="27"/>
    </row>
    <row r="7" spans="1:8" ht="15.6" x14ac:dyDescent="0.3">
      <c r="A7" s="25"/>
      <c r="B7" s="26"/>
      <c r="C7" s="87"/>
      <c r="D7" s="87"/>
      <c r="E7" s="25"/>
      <c r="F7" s="87"/>
      <c r="G7" s="87"/>
      <c r="H7" s="27"/>
    </row>
    <row r="8" spans="1:8" ht="15.6" x14ac:dyDescent="0.3">
      <c r="A8" s="25"/>
      <c r="B8" s="26"/>
      <c r="C8" s="30" t="s">
        <v>38</v>
      </c>
      <c r="D8" s="32"/>
      <c r="E8" s="25"/>
      <c r="F8" s="30" t="s">
        <v>24</v>
      </c>
      <c r="G8" s="31"/>
      <c r="H8" s="27"/>
    </row>
    <row r="9" spans="1:8" ht="15.6" x14ac:dyDescent="0.3">
      <c r="A9" s="25"/>
      <c r="B9" s="26"/>
      <c r="C9" s="87"/>
      <c r="D9" s="87"/>
      <c r="E9" s="25"/>
      <c r="F9" s="87"/>
      <c r="G9" s="87"/>
      <c r="H9" s="27"/>
    </row>
    <row r="10" spans="1:8" ht="15.6" x14ac:dyDescent="0.3">
      <c r="A10" s="25"/>
      <c r="B10" s="26"/>
      <c r="C10" s="30" t="s">
        <v>6</v>
      </c>
      <c r="D10" s="31"/>
      <c r="E10" s="25"/>
      <c r="F10" s="30" t="s">
        <v>40</v>
      </c>
      <c r="G10" s="31" t="s">
        <v>2375</v>
      </c>
      <c r="H10" s="27"/>
    </row>
    <row r="11" spans="1:8" ht="15.6" x14ac:dyDescent="0.3">
      <c r="A11" s="25"/>
      <c r="B11" s="26"/>
      <c r="C11" s="29"/>
      <c r="D11" s="29"/>
      <c r="E11" s="25"/>
      <c r="F11" s="87"/>
      <c r="G11" s="87"/>
      <c r="H11" s="27"/>
    </row>
    <row r="12" spans="1:8" ht="15.6" x14ac:dyDescent="0.3">
      <c r="A12" s="25"/>
      <c r="B12" s="26"/>
      <c r="C12" s="30" t="s">
        <v>22</v>
      </c>
      <c r="D12" s="37"/>
      <c r="E12" s="25"/>
      <c r="F12" s="30" t="s">
        <v>25</v>
      </c>
      <c r="G12" s="31"/>
      <c r="H12" s="27"/>
    </row>
    <row r="13" spans="1:8" ht="15.6" x14ac:dyDescent="0.3">
      <c r="A13" s="25"/>
      <c r="B13" s="26"/>
      <c r="C13" s="33">
        <f ca="1">DATEDIF(D8,G18,"Y")</f>
        <v>124</v>
      </c>
      <c r="D13" s="33"/>
      <c r="E13" s="25"/>
      <c r="F13" s="87"/>
      <c r="G13" s="87"/>
      <c r="H13" s="27"/>
    </row>
    <row r="14" spans="1:8" ht="15.6" x14ac:dyDescent="0.3">
      <c r="A14" s="25"/>
      <c r="B14" s="26"/>
      <c r="C14" s="30" t="s">
        <v>23</v>
      </c>
      <c r="D14" s="84"/>
      <c r="E14" s="25"/>
      <c r="F14" s="30" t="s">
        <v>34</v>
      </c>
      <c r="G14" s="38"/>
      <c r="H14" s="27"/>
    </row>
    <row r="15" spans="1:8" ht="15.6" x14ac:dyDescent="0.3">
      <c r="A15" s="25"/>
      <c r="B15" s="26"/>
      <c r="C15" s="87"/>
      <c r="D15" s="87"/>
      <c r="E15" s="25"/>
      <c r="F15" s="30" t="s">
        <v>2415</v>
      </c>
      <c r="G15" s="83"/>
      <c r="H15" s="27"/>
    </row>
    <row r="16" spans="1:8" ht="15.6" x14ac:dyDescent="0.3">
      <c r="A16" s="25"/>
      <c r="B16" s="26"/>
      <c r="C16" s="30" t="s">
        <v>39</v>
      </c>
      <c r="D16" s="85"/>
      <c r="E16" s="25"/>
      <c r="F16" s="30" t="s">
        <v>26</v>
      </c>
      <c r="G16" s="61" t="s">
        <v>36</v>
      </c>
      <c r="H16" s="27"/>
    </row>
    <row r="17" spans="1:8" ht="15.6" x14ac:dyDescent="0.3">
      <c r="A17" s="25"/>
      <c r="B17" s="26"/>
      <c r="C17" s="87"/>
      <c r="D17" s="87"/>
      <c r="E17" s="25"/>
      <c r="F17" s="87"/>
      <c r="G17" s="87"/>
      <c r="H17" s="27"/>
    </row>
    <row r="18" spans="1:8" ht="15.6" x14ac:dyDescent="0.3">
      <c r="A18" s="25"/>
      <c r="B18" s="26"/>
      <c r="C18" s="30" t="s">
        <v>22</v>
      </c>
      <c r="D18" s="86"/>
      <c r="E18" s="25"/>
      <c r="F18" s="30" t="s">
        <v>27</v>
      </c>
      <c r="G18" s="34">
        <f ca="1">TODAY()</f>
        <v>45490</v>
      </c>
      <c r="H18" s="27"/>
    </row>
    <row r="19" spans="1:8" ht="24" customHeight="1" x14ac:dyDescent="0.3">
      <c r="A19" s="25"/>
      <c r="B19" s="26"/>
      <c r="C19" s="35"/>
      <c r="D19" s="35"/>
      <c r="E19" s="25"/>
      <c r="F19" s="35"/>
      <c r="G19" s="35"/>
      <c r="H19" s="27"/>
    </row>
    <row r="20" spans="1:8" ht="24" customHeight="1" x14ac:dyDescent="0.3">
      <c r="A20" s="25"/>
      <c r="B20" s="26"/>
      <c r="C20" s="35"/>
      <c r="D20" s="35"/>
      <c r="E20" s="25"/>
      <c r="F20" s="35"/>
      <c r="G20" s="35"/>
      <c r="H20" s="27"/>
    </row>
    <row r="21" spans="1:8" ht="15" customHeight="1" x14ac:dyDescent="0.3">
      <c r="A21" s="25"/>
      <c r="B21" s="26"/>
      <c r="C21" s="36"/>
      <c r="D21" s="36"/>
      <c r="E21" s="25"/>
      <c r="F21" s="36"/>
      <c r="G21" s="36"/>
      <c r="H21" s="27"/>
    </row>
  </sheetData>
  <sheetProtection formatCells="0"/>
  <mergeCells count="14">
    <mergeCell ref="A1:H1"/>
    <mergeCell ref="C2:G2"/>
    <mergeCell ref="F4:F5"/>
    <mergeCell ref="G4:G5"/>
    <mergeCell ref="C7:D7"/>
    <mergeCell ref="C9:D9"/>
    <mergeCell ref="F17:G17"/>
    <mergeCell ref="F3:G3"/>
    <mergeCell ref="F7:G7"/>
    <mergeCell ref="F9:G9"/>
    <mergeCell ref="F13:G13"/>
    <mergeCell ref="F11:G11"/>
    <mergeCell ref="C15:D15"/>
    <mergeCell ref="C17:D17"/>
  </mergeCells>
  <dataValidations count="14">
    <dataValidation type="textLength" allowBlank="1" showInputMessage="1" showErrorMessage="1" errorTitle="Revisar Datos" error="Debes de poner un dato, minimo 5 caracteres máximo 30" sqref="G18" xr:uid="{4236F2D8-5027-4FB6-BDE5-E67672F20316}">
      <formula1>5</formula1>
      <formula2>30</formula2>
    </dataValidation>
    <dataValidation type="date" allowBlank="1" showInputMessage="1" showErrorMessage="1" errorTitle="Fecha" error="Validar su fecha de nacimiento" sqref="D8" xr:uid="{BEAC0D5F-DF2C-4C49-9234-FE07B9FEC63D}">
      <formula1>14611</formula1>
      <formula2>41639</formula2>
    </dataValidation>
    <dataValidation type="custom" operator="lessThan" allowBlank="1" showInputMessage="1" showErrorMessage="1" error="Validar datos" sqref="D14" xr:uid="{5C42AA3B-BC6B-4AAD-9796-27E33FC083B8}">
      <formula1>ISTEXT(D14)</formula1>
    </dataValidation>
    <dataValidation type="date" allowBlank="1" showInputMessage="1" showErrorMessage="1" error="Validar fechas nacimiento responsable" sqref="D16" xr:uid="{8D86B779-0E03-4C36-BB15-6BFAE86AC25A}">
      <formula1>10959</formula1>
      <formula2>36861</formula2>
    </dataValidation>
    <dataValidation type="textLength" operator="lessThan" allowBlank="1" showInputMessage="1" showErrorMessage="1" errorTitle="Revisar Datos" error="Debes de poner un dato, minimo 5 caracteres máximo 30" sqref="G8" xr:uid="{0DC33826-B070-4410-9474-994E378091AC}">
      <formula1>70</formula1>
    </dataValidation>
    <dataValidation type="list" allowBlank="1" showInputMessage="1" showErrorMessage="1" sqref="G12" xr:uid="{6157663B-C6A9-4280-A8B7-21F4D21FFCA0}">
      <formula1>INDIRECT($G$10)</formula1>
    </dataValidation>
    <dataValidation type="decimal" allowBlank="1" showInputMessage="1" showErrorMessage="1" error="Validar información" sqref="G6" xr:uid="{445D1F01-FC48-47FF-A88D-F974824B9092}">
      <formula1>1000</formula1>
      <formula2>99999</formula2>
    </dataValidation>
    <dataValidation type="custom" allowBlank="1" showInputMessage="1" showErrorMessage="1" error="Valida correo electrónico" sqref="G14" xr:uid="{DC00F2F4-2BDF-4047-A595-A2FCFEF85D5B}">
      <formula1>ISNUMBER(MATCH("*@*.?*",G14,0))</formula1>
    </dataValidation>
    <dataValidation type="whole" allowBlank="1" showInputMessage="1" showErrorMessage="1" sqref="G15" xr:uid="{00B1F337-4808-4A0D-AEB3-D657917F42E1}">
      <formula1>1111111111</formula1>
      <formula2>9999999999</formula2>
    </dataValidation>
    <dataValidation type="custom" allowBlank="1" showInputMessage="1" showErrorMessage="1" error="Solo puedes ingresar letras_x000a_" sqref="D4" xr:uid="{879C9318-CDAF-4B37-877F-25A0CD124904}">
      <formula1>ISTEXT(D4)</formula1>
    </dataValidation>
    <dataValidation type="custom" allowBlank="1" showInputMessage="1" showErrorMessage="1" error="Solo se permiten letras" sqref="D5:D6" xr:uid="{A70B3999-1A7D-4F74-B5A5-58A4A7740A37}">
      <formula1>ISTEXT(D5)</formula1>
    </dataValidation>
    <dataValidation type="whole" allowBlank="1" showInputMessage="1" showErrorMessage="1" sqref="D12" xr:uid="{DBEDD5D2-72E0-4286-BBE5-59A1831848B5}">
      <formula1>10</formula1>
      <formula2>70</formula2>
    </dataValidation>
    <dataValidation type="whole" allowBlank="1" showInputMessage="1" showErrorMessage="1" sqref="D18" xr:uid="{66ED61BB-B4B4-417A-893A-51E4F60EA501}">
      <formula1>20</formula1>
      <formula2>70</formula2>
    </dataValidation>
    <dataValidation type="textLength" allowBlank="1" showInputMessage="1" showErrorMessage="1" sqref="G4:G5" xr:uid="{09238493-E113-4C34-A453-E9C335C2115D}">
      <formula1>10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91BE8A6-F4DA-4E8A-B363-2CA885C87FAD}">
          <x14:formula1>
            <xm:f>'  '!$AJ$1:$BO$1</xm:f>
          </x14:formula1>
          <xm:sqref>G10</xm:sqref>
        </x14:dataValidation>
        <x14:dataValidation type="list" allowBlank="1" showInputMessage="1" showErrorMessage="1" error="validar datos" xr:uid="{C59D0B5D-930E-499D-B984-0B11ADFB6F6A}">
          <x14:formula1>
            <xm:f>OFFSET('  '!$A$2,0,0,COUNTA('  '!$A:$A)-1)</xm:f>
          </x14:formula1>
          <xm:sqref>D10</xm:sqref>
        </x14:dataValidation>
        <x14:dataValidation type="list" allowBlank="1" showInputMessage="1" showErrorMessage="1" xr:uid="{3DBF6526-B560-4FFA-AE25-886128C76D34}">
          <x14:formula1>
            <xm:f>'  '!$M$2</xm:f>
          </x14:formula1>
          <xm:sqref>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149CC-D8EF-43A2-A8C9-00D90CC62A66}">
  <sheetPr codeName="Sheet5"/>
  <dimension ref="A1:I24"/>
  <sheetViews>
    <sheetView zoomScale="80" zoomScaleNormal="80" workbookViewId="0">
      <selection activeCell="H4" sqref="H4"/>
    </sheetView>
  </sheetViews>
  <sheetFormatPr defaultColWidth="0" defaultRowHeight="15" zeroHeight="1" x14ac:dyDescent="0.25"/>
  <cols>
    <col min="1" max="2" width="7.77734375" style="45" customWidth="1"/>
    <col min="3" max="3" width="35.6640625" style="45" customWidth="1"/>
    <col min="4" max="4" width="40.6640625" style="45" customWidth="1"/>
    <col min="5" max="5" width="4.77734375" style="45" customWidth="1"/>
    <col min="6" max="6" width="10.33203125" style="45" customWidth="1"/>
    <col min="7" max="7" width="35.6640625" style="45" customWidth="1"/>
    <col min="8" max="8" width="40.6640625" style="45" customWidth="1"/>
    <col min="9" max="9" width="19.5546875" style="45" customWidth="1"/>
    <col min="10" max="16384" width="8.77734375" style="45" hidden="1"/>
  </cols>
  <sheetData>
    <row r="1" spans="1:9" ht="17.399999999999999" x14ac:dyDescent="0.3">
      <c r="A1" s="88" t="s">
        <v>28</v>
      </c>
      <c r="B1" s="88"/>
      <c r="C1" s="88"/>
      <c r="D1" s="88"/>
      <c r="E1" s="88"/>
      <c r="F1" s="88"/>
      <c r="G1" s="88"/>
      <c r="H1" s="88"/>
      <c r="I1" s="88"/>
    </row>
    <row r="2" spans="1:9" ht="27" customHeight="1" x14ac:dyDescent="0.35">
      <c r="A2" s="46"/>
      <c r="B2" s="46"/>
      <c r="C2" s="93" t="str">
        <f>IF(D4="","",IFERROR(VLOOKUP(D5,' '!B:U,20,0),"No es un socio el elegido"))</f>
        <v/>
      </c>
      <c r="D2" s="93"/>
      <c r="E2" s="93"/>
      <c r="F2" s="93"/>
      <c r="G2" s="93"/>
      <c r="H2" s="93"/>
      <c r="I2" s="46"/>
    </row>
    <row r="3" spans="1:9" ht="15" customHeight="1" x14ac:dyDescent="0.3">
      <c r="A3" s="46"/>
      <c r="B3" s="46"/>
      <c r="C3" s="47"/>
      <c r="D3" s="48"/>
      <c r="E3" s="46"/>
      <c r="F3" s="46"/>
      <c r="G3" s="49"/>
      <c r="H3" s="49"/>
      <c r="I3" s="46"/>
    </row>
    <row r="4" spans="1:9" ht="15.6" x14ac:dyDescent="0.3">
      <c r="A4" s="46"/>
      <c r="B4" s="46"/>
      <c r="C4" s="50" t="s">
        <v>2411</v>
      </c>
      <c r="D4" s="71"/>
      <c r="E4" s="46"/>
      <c r="F4" s="46"/>
      <c r="G4" s="50" t="s">
        <v>2403</v>
      </c>
      <c r="H4" s="72" t="s">
        <v>20</v>
      </c>
      <c r="I4" s="46"/>
    </row>
    <row r="5" spans="1:9" ht="15" customHeight="1" x14ac:dyDescent="0.3">
      <c r="A5" s="46"/>
      <c r="B5" s="46"/>
      <c r="C5" s="47"/>
      <c r="D5" s="56" t="e">
        <f>+VLOOKUP(D4,' '!V:W,2,0)</f>
        <v>#N/A</v>
      </c>
      <c r="E5" s="46"/>
      <c r="F5" s="46"/>
      <c r="G5" s="49"/>
      <c r="H5" s="49"/>
      <c r="I5" s="46"/>
    </row>
    <row r="6" spans="1:9" ht="15.6" x14ac:dyDescent="0.3">
      <c r="A6" s="46"/>
      <c r="B6" s="46"/>
      <c r="C6" s="50" t="s">
        <v>2418</v>
      </c>
      <c r="D6" s="51">
        <f ca="1">+TODAY()</f>
        <v>45490</v>
      </c>
      <c r="E6" s="46"/>
      <c r="F6" s="46"/>
      <c r="G6" s="50" t="s">
        <v>44</v>
      </c>
      <c r="H6" s="53" t="s">
        <v>36</v>
      </c>
      <c r="I6" s="46"/>
    </row>
    <row r="7" spans="1:9" ht="15" customHeight="1" x14ac:dyDescent="0.3">
      <c r="A7" s="46"/>
      <c r="B7" s="46"/>
      <c r="C7" s="47"/>
      <c r="D7" s="56">
        <f ca="1">+WEEKDAY(D6)</f>
        <v>4</v>
      </c>
      <c r="E7" s="75">
        <v>1</v>
      </c>
      <c r="F7" s="46"/>
      <c r="G7" s="49"/>
      <c r="H7" s="49"/>
      <c r="I7" s="46"/>
    </row>
    <row r="8" spans="1:9" ht="15.6" x14ac:dyDescent="0.3">
      <c r="A8" s="46"/>
      <c r="B8" s="46"/>
      <c r="C8" s="50" t="s">
        <v>2419</v>
      </c>
      <c r="D8" s="51">
        <f ca="1">+D6+E7</f>
        <v>45491</v>
      </c>
      <c r="E8" s="46"/>
      <c r="F8" s="46"/>
      <c r="G8" s="50" t="s">
        <v>2434</v>
      </c>
      <c r="H8" s="72"/>
      <c r="I8" s="46"/>
    </row>
    <row r="9" spans="1:9" ht="15" customHeight="1" x14ac:dyDescent="0.3">
      <c r="A9" s="46"/>
      <c r="B9" s="46"/>
      <c r="C9" s="47"/>
      <c r="D9" s="56">
        <f>+VLOOKUP(H4,'  '!O:P,2,0)</f>
        <v>365</v>
      </c>
      <c r="E9" s="46"/>
      <c r="F9" s="46"/>
      <c r="G9" s="49"/>
      <c r="H9" s="49"/>
      <c r="I9" s="46"/>
    </row>
    <row r="10" spans="1:9" ht="15.6" x14ac:dyDescent="0.3">
      <c r="A10" s="46"/>
      <c r="B10" s="46"/>
      <c r="C10" s="50" t="s">
        <v>2422</v>
      </c>
      <c r="D10" s="51">
        <f ca="1">+D8+D9</f>
        <v>45856</v>
      </c>
      <c r="E10" s="46"/>
      <c r="F10" s="46"/>
      <c r="G10" s="50" t="s">
        <v>2435</v>
      </c>
      <c r="H10" s="72"/>
      <c r="I10" s="46"/>
    </row>
    <row r="11" spans="1:9" ht="15" customHeight="1" x14ac:dyDescent="0.3">
      <c r="A11" s="46"/>
      <c r="B11" s="46"/>
      <c r="C11" s="47"/>
      <c r="D11" s="48"/>
      <c r="E11" s="46"/>
      <c r="F11" s="46"/>
      <c r="G11" s="49"/>
      <c r="H11" s="49"/>
      <c r="I11" s="46"/>
    </row>
    <row r="12" spans="1:9" ht="15.6" x14ac:dyDescent="0.3">
      <c r="A12" s="46"/>
      <c r="B12" s="46"/>
      <c r="C12" s="50" t="s">
        <v>2440</v>
      </c>
      <c r="D12" s="52">
        <f>+VLOOKUP(H4,'  '!O:V,4,0)</f>
        <v>200</v>
      </c>
      <c r="E12" s="46"/>
      <c r="F12" s="46"/>
      <c r="G12" s="50" t="str">
        <f>+VLOOKUP(H4,'  '!O:V,7,0)</f>
        <v>Cuota Mensual</v>
      </c>
      <c r="H12" s="54">
        <f>+VLOOKUP(H4,'  '!O:V,6,0)</f>
        <v>200</v>
      </c>
      <c r="I12" s="46"/>
    </row>
    <row r="13" spans="1:9" ht="15" customHeight="1" x14ac:dyDescent="0.3">
      <c r="A13" s="46"/>
      <c r="B13" s="46"/>
      <c r="C13" s="47"/>
      <c r="D13" s="48"/>
      <c r="E13" s="46"/>
      <c r="F13" s="46"/>
      <c r="G13" s="49"/>
      <c r="H13" s="49"/>
      <c r="I13" s="46"/>
    </row>
    <row r="14" spans="1:9" ht="15.6" x14ac:dyDescent="0.3">
      <c r="A14" s="46"/>
      <c r="B14" s="46"/>
      <c r="C14" s="50" t="s">
        <v>2436</v>
      </c>
      <c r="D14" s="73">
        <v>0.1</v>
      </c>
      <c r="E14" s="46"/>
      <c r="F14" s="46"/>
      <c r="G14" s="50" t="s">
        <v>2437</v>
      </c>
      <c r="H14" s="73">
        <v>0.1</v>
      </c>
      <c r="I14" s="46"/>
    </row>
    <row r="15" spans="1:9" ht="15" customHeight="1" x14ac:dyDescent="0.3">
      <c r="A15" s="46"/>
      <c r="B15" s="46"/>
      <c r="C15" s="47"/>
      <c r="D15" s="57">
        <f>+D14*D12</f>
        <v>20</v>
      </c>
      <c r="E15" s="46"/>
      <c r="F15" s="46"/>
      <c r="G15" s="49"/>
      <c r="H15" s="60">
        <f>+H12*H14</f>
        <v>20</v>
      </c>
      <c r="I15" s="46"/>
    </row>
    <row r="16" spans="1:9" ht="15.6" x14ac:dyDescent="0.3">
      <c r="A16" s="46"/>
      <c r="B16" s="46"/>
      <c r="C16" s="50" t="s">
        <v>2449</v>
      </c>
      <c r="D16" s="67">
        <f>+D12-D15</f>
        <v>180</v>
      </c>
      <c r="E16" s="46"/>
      <c r="F16" s="46"/>
      <c r="G16" s="50" t="s">
        <v>2450</v>
      </c>
      <c r="H16" s="55">
        <f>+H12-H15</f>
        <v>180</v>
      </c>
      <c r="I16" s="46"/>
    </row>
    <row r="17" spans="1:9" ht="15" customHeight="1" x14ac:dyDescent="0.3">
      <c r="A17" s="46"/>
      <c r="B17" s="46"/>
      <c r="C17" s="47"/>
      <c r="D17" s="48"/>
      <c r="E17" s="46"/>
      <c r="F17" s="46"/>
      <c r="G17" s="49"/>
      <c r="H17" s="49"/>
      <c r="I17" s="46"/>
    </row>
    <row r="18" spans="1:9" ht="15.6" x14ac:dyDescent="0.3">
      <c r="A18" s="46"/>
      <c r="B18" s="46"/>
      <c r="C18" s="50" t="s">
        <v>2441</v>
      </c>
      <c r="D18" s="51">
        <f ca="1">D8+VLOOKUP(H4,'  '!O:V,3,0)</f>
        <v>45856</v>
      </c>
      <c r="E18" s="46"/>
      <c r="F18" s="46"/>
      <c r="G18" s="50" t="s">
        <v>2448</v>
      </c>
      <c r="H18" s="54">
        <f>+VLOOKUP(H4,'  '!O:S,5,0)</f>
        <v>2400</v>
      </c>
      <c r="I18" s="46"/>
    </row>
    <row r="19" spans="1:9" ht="15" customHeight="1" x14ac:dyDescent="0.3">
      <c r="A19" s="46"/>
      <c r="B19" s="46"/>
      <c r="C19" s="47"/>
      <c r="D19" s="48"/>
      <c r="E19" s="46"/>
      <c r="F19" s="46"/>
      <c r="G19" s="49"/>
      <c r="H19" s="49"/>
      <c r="I19" s="46"/>
    </row>
    <row r="20" spans="1:9" ht="15.6" x14ac:dyDescent="0.3">
      <c r="A20" s="46"/>
      <c r="B20" s="46"/>
      <c r="C20" s="50" t="s">
        <v>2451</v>
      </c>
      <c r="D20" s="74" t="s">
        <v>2407</v>
      </c>
      <c r="E20" s="46"/>
      <c r="F20" s="46"/>
      <c r="G20" s="50" t="s">
        <v>2452</v>
      </c>
      <c r="H20" s="58">
        <f ca="1">+IF(D20="si",D8-1)</f>
        <v>45490</v>
      </c>
      <c r="I20" s="46"/>
    </row>
    <row r="21" spans="1:9" ht="15" customHeight="1" x14ac:dyDescent="0.3">
      <c r="A21" s="46"/>
      <c r="B21" s="46"/>
      <c r="C21" s="47"/>
      <c r="D21" s="48"/>
      <c r="E21" s="46"/>
      <c r="F21" s="46"/>
      <c r="G21" s="49"/>
      <c r="H21" s="49"/>
      <c r="I21" s="46"/>
    </row>
    <row r="22" spans="1:9" ht="15.6" x14ac:dyDescent="0.3">
      <c r="A22" s="46"/>
      <c r="B22" s="46"/>
      <c r="C22" s="46"/>
      <c r="D22" s="46"/>
      <c r="E22" s="46"/>
      <c r="F22" s="46"/>
      <c r="G22" s="46"/>
      <c r="H22" s="46"/>
      <c r="I22" s="46"/>
    </row>
    <row r="23" spans="1:9" ht="15.6" x14ac:dyDescent="0.3">
      <c r="A23" s="46"/>
      <c r="B23" s="46"/>
      <c r="C23" s="46"/>
      <c r="D23" s="46"/>
      <c r="E23" s="46"/>
      <c r="F23" s="46"/>
      <c r="G23" s="46"/>
      <c r="H23" s="46"/>
      <c r="I23" s="46"/>
    </row>
    <row r="24" spans="1:9" ht="15.6" x14ac:dyDescent="0.3">
      <c r="A24" s="46"/>
      <c r="B24" s="46"/>
      <c r="C24" s="46"/>
      <c r="D24" s="46"/>
      <c r="E24" s="46"/>
      <c r="F24" s="46"/>
      <c r="G24" s="46"/>
      <c r="H24" s="46"/>
      <c r="I24" s="46"/>
    </row>
  </sheetData>
  <mergeCells count="2">
    <mergeCell ref="A1:I1"/>
    <mergeCell ref="C2:H2"/>
  </mergeCells>
  <dataValidations count="1">
    <dataValidation type="decimal" allowBlank="1" showInputMessage="1" showErrorMessage="1" error="Máximo son 10 días y minimo 1_x000a_" sqref="E7" xr:uid="{95E13440-66B3-4114-8C28-E74027F1FC80}">
      <formula1>1</formula1>
      <formula2>10</formula2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6DC6169-9D93-41AD-B0D6-391F51D21278}">
          <x14:formula1>
            <xm:f>'  '!$AB$2:$AB$3</xm:f>
          </x14:formula1>
          <xm:sqref>D20</xm:sqref>
        </x14:dataValidation>
        <x14:dataValidation type="list" allowBlank="1" showInputMessage="1" showErrorMessage="1" xr:uid="{F6D3A0AE-FFBA-41AC-9829-58AD4BA02634}">
          <x14:formula1>
            <xm:f>OFFSET('  '!$O$2,0,0,COUNTA('  '!$O:$O)-1)</xm:f>
          </x14:formula1>
          <xm:sqref>H4</xm:sqref>
        </x14:dataValidation>
        <x14:dataValidation type="list" allowBlank="1" showInputMessage="1" showErrorMessage="1" xr:uid="{A83205F7-E84E-43F0-B94F-8366CC01C6F1}">
          <x14:formula1>
            <xm:f>'  '!$M$2:$M$2</xm:f>
          </x14:formula1>
          <xm:sqref>H6</xm:sqref>
        </x14:dataValidation>
        <x14:dataValidation type="list" allowBlank="1" showInputMessage="1" showErrorMessage="1" xr:uid="{EF08F88F-CE6F-44F3-BAA5-008AAF3CD09B}">
          <x14:formula1>
            <xm:f>OFFSET('  '!$AD$2,0,0,COUNTA('  '!$AD:$AD)-1)</xm:f>
          </x14:formula1>
          <xm:sqref>D14 H14</xm:sqref>
        </x14:dataValidation>
        <x14:dataValidation type="list" allowBlank="1" showInputMessage="1" showErrorMessage="1" xr:uid="{955FF4EB-7A45-4A5C-9A43-32E7E2780B9E}">
          <x14:formula1>
            <xm:f>OFFSET(' '!$V$2,0,0,COUNTA(' '!$B:$B)-1)</xm:f>
          </x14:formula1>
          <xm:sqref>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AC3D-5554-4B61-951D-3EBB54003B33}">
  <sheetPr codeName="Sheet2"/>
  <dimension ref="A1:W42"/>
  <sheetViews>
    <sheetView topLeftCell="O1" zoomScale="90" zoomScaleNormal="90" workbookViewId="0">
      <selection activeCell="V3" sqref="V3"/>
    </sheetView>
  </sheetViews>
  <sheetFormatPr defaultColWidth="8.77734375" defaultRowHeight="13.8" x14ac:dyDescent="0.25"/>
  <cols>
    <col min="1" max="1" width="4.77734375" style="1" customWidth="1"/>
    <col min="2" max="2" width="7" style="1" bestFit="1" customWidth="1"/>
    <col min="3" max="5" width="10.109375" style="1" customWidth="1"/>
    <col min="6" max="6" width="11.88671875" style="4" bestFit="1" customWidth="1"/>
    <col min="7" max="7" width="10" style="1" bestFit="1" customWidth="1"/>
    <col min="8" max="8" width="5.77734375" style="1" bestFit="1" customWidth="1"/>
    <col min="9" max="9" width="13.77734375" style="1" bestFit="1" customWidth="1"/>
    <col min="10" max="10" width="11.33203125" style="1" bestFit="1" customWidth="1"/>
    <col min="11" max="11" width="5.88671875" style="1" bestFit="1" customWidth="1"/>
    <col min="12" max="12" width="15.77734375" style="1" customWidth="1"/>
    <col min="13" max="13" width="7.77734375" style="1" bestFit="1" customWidth="1"/>
    <col min="14" max="14" width="20.33203125" style="1" customWidth="1"/>
    <col min="15" max="15" width="10" style="1" bestFit="1" customWidth="1"/>
    <col min="16" max="16" width="15.44140625" style="1" customWidth="1"/>
    <col min="17" max="17" width="28.44140625" style="1" bestFit="1" customWidth="1"/>
    <col min="18" max="18" width="14.77734375" style="14" customWidth="1"/>
    <col min="19" max="19" width="8.6640625" style="1" bestFit="1" customWidth="1"/>
    <col min="20" max="20" width="11.88671875" style="4" bestFit="1" customWidth="1"/>
    <col min="21" max="21" width="33.6640625" style="1" bestFit="1" customWidth="1"/>
    <col min="22" max="22" width="40.77734375" style="1" bestFit="1" customWidth="1"/>
    <col min="23" max="16384" width="8.77734375" style="1"/>
  </cols>
  <sheetData>
    <row r="1" spans="1:23" s="9" customFormat="1" ht="45" x14ac:dyDescent="0.25">
      <c r="A1" s="6"/>
      <c r="B1" s="10" t="s">
        <v>21</v>
      </c>
      <c r="C1" s="10" t="s">
        <v>0</v>
      </c>
      <c r="D1" s="10" t="s">
        <v>29</v>
      </c>
      <c r="E1" s="10" t="s">
        <v>0</v>
      </c>
      <c r="F1" s="11" t="s">
        <v>30</v>
      </c>
      <c r="G1" s="10" t="s">
        <v>6</v>
      </c>
      <c r="H1" s="10" t="s">
        <v>31</v>
      </c>
      <c r="I1" s="10" t="s">
        <v>23</v>
      </c>
      <c r="J1" s="10" t="s">
        <v>32</v>
      </c>
      <c r="K1" s="10" t="s">
        <v>33</v>
      </c>
      <c r="L1" s="10" t="s">
        <v>1</v>
      </c>
      <c r="M1" s="10" t="s">
        <v>43</v>
      </c>
      <c r="N1" s="10" t="s">
        <v>24</v>
      </c>
      <c r="O1" s="10" t="s">
        <v>40</v>
      </c>
      <c r="P1" s="10" t="s">
        <v>25</v>
      </c>
      <c r="Q1" s="10" t="s">
        <v>2</v>
      </c>
      <c r="R1" s="13"/>
      <c r="S1" s="10" t="s">
        <v>26</v>
      </c>
      <c r="T1" s="11" t="s">
        <v>35</v>
      </c>
      <c r="U1" s="10" t="s">
        <v>42</v>
      </c>
      <c r="V1" s="10" t="s">
        <v>2457</v>
      </c>
      <c r="W1" s="10" t="s">
        <v>21</v>
      </c>
    </row>
    <row r="2" spans="1:23" x14ac:dyDescent="0.25">
      <c r="A2" s="6"/>
      <c r="B2" s="20"/>
      <c r="C2" s="21"/>
      <c r="D2" s="21"/>
      <c r="E2" s="21"/>
      <c r="F2" s="22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3"/>
      <c r="S2" s="21"/>
      <c r="T2" s="22"/>
      <c r="U2" s="21"/>
      <c r="V2" s="68"/>
      <c r="W2" s="68"/>
    </row>
    <row r="3" spans="1:23" x14ac:dyDescent="0.25">
      <c r="A3" s="6"/>
      <c r="B3" s="20">
        <v>10004</v>
      </c>
      <c r="C3" s="21" t="s">
        <v>2493</v>
      </c>
      <c r="D3" s="21" t="s">
        <v>2494</v>
      </c>
      <c r="E3" s="21" t="s">
        <v>2495</v>
      </c>
      <c r="F3" s="22">
        <v>36888</v>
      </c>
      <c r="G3" s="21" t="s">
        <v>7</v>
      </c>
      <c r="H3" s="21">
        <v>23</v>
      </c>
      <c r="I3" s="21"/>
      <c r="J3" s="21"/>
      <c r="K3" s="21"/>
      <c r="L3" s="21" t="s">
        <v>2496</v>
      </c>
      <c r="M3" s="21">
        <v>76900</v>
      </c>
      <c r="N3" s="21" t="s">
        <v>2497</v>
      </c>
      <c r="O3" s="21" t="s">
        <v>2381</v>
      </c>
      <c r="P3" s="21" t="s">
        <v>481</v>
      </c>
      <c r="Q3" s="21"/>
      <c r="R3" s="23">
        <v>4427949498</v>
      </c>
      <c r="S3" s="21" t="s">
        <v>36</v>
      </c>
      <c r="T3" s="22">
        <v>45376</v>
      </c>
      <c r="U3" s="21" t="s">
        <v>2498</v>
      </c>
      <c r="V3" s="68" t="s">
        <v>2499</v>
      </c>
      <c r="W3" s="68">
        <v>10004</v>
      </c>
    </row>
    <row r="4" spans="1:23" x14ac:dyDescent="0.25">
      <c r="A4" s="6"/>
      <c r="B4" s="20">
        <v>10003</v>
      </c>
      <c r="C4" s="21" t="s">
        <v>2458</v>
      </c>
      <c r="D4" s="21" t="s">
        <v>2459</v>
      </c>
      <c r="E4" s="21" t="s">
        <v>2460</v>
      </c>
      <c r="F4" s="22">
        <v>24070</v>
      </c>
      <c r="G4" s="21" t="s">
        <v>7</v>
      </c>
      <c r="H4" s="21">
        <v>58</v>
      </c>
      <c r="I4" s="21"/>
      <c r="J4" s="21"/>
      <c r="K4" s="21"/>
      <c r="L4" s="21" t="s">
        <v>2490</v>
      </c>
      <c r="M4" s="21">
        <v>79906</v>
      </c>
      <c r="N4" s="21" t="s">
        <v>2462</v>
      </c>
      <c r="O4" s="21" t="s">
        <v>2381</v>
      </c>
      <c r="P4" s="21" t="s">
        <v>485</v>
      </c>
      <c r="Q4" s="21" t="s">
        <v>2491</v>
      </c>
      <c r="R4" s="23">
        <v>4427949498</v>
      </c>
      <c r="S4" s="21" t="s">
        <v>36</v>
      </c>
      <c r="T4" s="22">
        <v>45318</v>
      </c>
      <c r="U4" s="21" t="s">
        <v>2464</v>
      </c>
      <c r="V4" s="68" t="s">
        <v>2492</v>
      </c>
      <c r="W4" s="68">
        <v>10003</v>
      </c>
    </row>
    <row r="5" spans="1:23" x14ac:dyDescent="0.25">
      <c r="A5" s="6"/>
      <c r="B5" s="20">
        <v>10002</v>
      </c>
      <c r="C5" s="21" t="s">
        <v>2466</v>
      </c>
      <c r="D5" s="21" t="s">
        <v>2459</v>
      </c>
      <c r="E5" s="21" t="s">
        <v>2467</v>
      </c>
      <c r="F5" s="22">
        <v>34617</v>
      </c>
      <c r="G5" s="21" t="s">
        <v>8</v>
      </c>
      <c r="H5" s="21">
        <v>29</v>
      </c>
      <c r="I5" s="21"/>
      <c r="J5" s="21"/>
      <c r="K5" s="21"/>
      <c r="L5" s="21" t="s">
        <v>2468</v>
      </c>
      <c r="M5" s="21">
        <v>1480</v>
      </c>
      <c r="N5" s="21" t="s">
        <v>2469</v>
      </c>
      <c r="O5" s="21" t="s">
        <v>2376</v>
      </c>
      <c r="P5" s="21" t="s">
        <v>280</v>
      </c>
      <c r="Q5" s="21" t="s">
        <v>2470</v>
      </c>
      <c r="R5" s="23">
        <v>4422582186</v>
      </c>
      <c r="S5" s="21" t="s">
        <v>36</v>
      </c>
      <c r="T5" s="22">
        <v>45313</v>
      </c>
      <c r="U5" s="21" t="s">
        <v>2471</v>
      </c>
      <c r="V5" s="68" t="s">
        <v>2472</v>
      </c>
      <c r="W5" s="68">
        <v>10002</v>
      </c>
    </row>
    <row r="6" spans="1:23" x14ac:dyDescent="0.25">
      <c r="A6" s="6"/>
      <c r="B6" s="20">
        <v>10001</v>
      </c>
      <c r="C6" s="21" t="s">
        <v>2458</v>
      </c>
      <c r="D6" s="21" t="s">
        <v>2459</v>
      </c>
      <c r="E6" s="21" t="s">
        <v>2460</v>
      </c>
      <c r="F6" s="22">
        <v>24070</v>
      </c>
      <c r="G6" s="21" t="s">
        <v>7</v>
      </c>
      <c r="H6" s="21">
        <v>58</v>
      </c>
      <c r="I6" s="21"/>
      <c r="J6" s="21"/>
      <c r="K6" s="21"/>
      <c r="L6" s="21" t="s">
        <v>2461</v>
      </c>
      <c r="M6" s="21">
        <v>76906</v>
      </c>
      <c r="N6" s="21" t="s">
        <v>2462</v>
      </c>
      <c r="O6" s="21" t="s">
        <v>41</v>
      </c>
      <c r="P6" s="21" t="s">
        <v>1772</v>
      </c>
      <c r="Q6" s="21" t="s">
        <v>2463</v>
      </c>
      <c r="R6" s="23">
        <v>4427949498</v>
      </c>
      <c r="S6" s="21" t="s">
        <v>36</v>
      </c>
      <c r="T6" s="22">
        <v>45313</v>
      </c>
      <c r="U6" s="21" t="s">
        <v>2464</v>
      </c>
      <c r="V6" s="68" t="s">
        <v>2465</v>
      </c>
      <c r="W6" s="68">
        <v>10001</v>
      </c>
    </row>
    <row r="7" spans="1:23" x14ac:dyDescent="0.25">
      <c r="A7" s="6"/>
      <c r="B7" s="20">
        <v>10000</v>
      </c>
      <c r="C7" s="21"/>
      <c r="D7" s="21"/>
      <c r="E7" s="21"/>
      <c r="F7" s="22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3"/>
      <c r="S7" s="21"/>
      <c r="T7" s="22"/>
      <c r="U7" s="21"/>
      <c r="V7" s="68"/>
      <c r="W7" s="68"/>
    </row>
    <row r="8" spans="1:23" x14ac:dyDescent="0.25">
      <c r="A8" s="94" t="s">
        <v>2416</v>
      </c>
      <c r="B8" s="16"/>
      <c r="C8" s="17"/>
      <c r="D8" s="17"/>
      <c r="E8" s="17"/>
      <c r="F8" s="18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9"/>
      <c r="S8" s="17"/>
      <c r="T8" s="18"/>
      <c r="U8" s="17"/>
    </row>
    <row r="9" spans="1:23" x14ac:dyDescent="0.25">
      <c r="A9" s="94"/>
      <c r="B9" s="17"/>
      <c r="C9" s="17"/>
      <c r="D9" s="17"/>
      <c r="E9" s="17"/>
      <c r="F9" s="18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9"/>
      <c r="S9" s="17"/>
      <c r="T9" s="18"/>
      <c r="U9" s="17"/>
    </row>
    <row r="10" spans="1:23" x14ac:dyDescent="0.25">
      <c r="A10" s="94"/>
      <c r="B10" s="17"/>
      <c r="C10" s="17"/>
      <c r="D10" s="17"/>
      <c r="E10" s="17"/>
      <c r="F10" s="18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9"/>
      <c r="S10" s="17"/>
      <c r="T10" s="18"/>
      <c r="U10" s="17"/>
    </row>
    <row r="11" spans="1:23" x14ac:dyDescent="0.25">
      <c r="A11" s="94"/>
      <c r="B11" s="17"/>
      <c r="C11" s="17"/>
      <c r="D11" s="17"/>
      <c r="E11" s="17"/>
      <c r="F11" s="18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9"/>
      <c r="S11" s="17"/>
      <c r="T11" s="18"/>
      <c r="U11" s="17"/>
    </row>
    <row r="12" spans="1:23" x14ac:dyDescent="0.25">
      <c r="A12" s="94"/>
      <c r="B12" s="17"/>
      <c r="C12" s="17"/>
      <c r="D12" s="17"/>
      <c r="E12" s="17"/>
      <c r="F12" s="18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9"/>
      <c r="S12" s="17"/>
      <c r="T12" s="18"/>
      <c r="U12" s="17"/>
    </row>
    <row r="13" spans="1:23" x14ac:dyDescent="0.25">
      <c r="A13" s="94"/>
      <c r="B13" s="17"/>
      <c r="C13" s="17"/>
      <c r="D13" s="17"/>
      <c r="E13" s="17"/>
      <c r="F13" s="18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9"/>
      <c r="S13" s="17"/>
      <c r="T13" s="18"/>
      <c r="U13" s="17"/>
    </row>
    <row r="14" spans="1:23" x14ac:dyDescent="0.25">
      <c r="A14" s="94"/>
      <c r="B14" s="17"/>
      <c r="C14" s="17"/>
      <c r="D14" s="17"/>
      <c r="E14" s="17"/>
      <c r="F14" s="18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9"/>
      <c r="S14" s="17"/>
      <c r="T14" s="18"/>
      <c r="U14" s="17"/>
    </row>
    <row r="15" spans="1:23" x14ac:dyDescent="0.25">
      <c r="A15" s="94"/>
      <c r="B15" s="17"/>
      <c r="C15" s="17"/>
      <c r="D15" s="17"/>
      <c r="E15" s="17"/>
      <c r="F15" s="18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9"/>
      <c r="S15" s="17"/>
      <c r="T15" s="18"/>
      <c r="U15" s="17"/>
    </row>
    <row r="16" spans="1:23" x14ac:dyDescent="0.25">
      <c r="A16" s="94"/>
      <c r="B16" s="17"/>
      <c r="C16" s="17"/>
      <c r="D16" s="17"/>
      <c r="E16" s="17"/>
      <c r="F16" s="18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9"/>
      <c r="S16" s="17"/>
      <c r="T16" s="18"/>
      <c r="U16" s="17"/>
    </row>
    <row r="17" spans="1:21" x14ac:dyDescent="0.25">
      <c r="A17" s="94"/>
      <c r="B17" s="17"/>
      <c r="C17" s="17"/>
      <c r="D17" s="17"/>
      <c r="E17" s="17"/>
      <c r="F17" s="18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9"/>
      <c r="S17" s="17"/>
      <c r="T17" s="18"/>
      <c r="U17" s="17"/>
    </row>
    <row r="18" spans="1:21" x14ac:dyDescent="0.25">
      <c r="A18" s="94"/>
      <c r="B18" s="17"/>
      <c r="C18" s="17"/>
      <c r="D18" s="17"/>
      <c r="E18" s="17"/>
      <c r="F18" s="18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9"/>
      <c r="S18" s="17"/>
      <c r="T18" s="18"/>
      <c r="U18" s="17"/>
    </row>
    <row r="19" spans="1:21" x14ac:dyDescent="0.25">
      <c r="A19" s="94"/>
      <c r="B19" s="17"/>
      <c r="C19" s="17"/>
      <c r="D19" s="17"/>
      <c r="E19" s="17"/>
      <c r="F19" s="18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9"/>
      <c r="S19" s="17"/>
      <c r="T19" s="18"/>
      <c r="U19" s="17"/>
    </row>
    <row r="20" spans="1:21" x14ac:dyDescent="0.25">
      <c r="A20" s="94"/>
      <c r="B20" s="17"/>
      <c r="C20" s="17"/>
      <c r="D20" s="17"/>
      <c r="E20" s="17"/>
      <c r="F20" s="18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9"/>
      <c r="S20" s="17"/>
      <c r="T20" s="18"/>
      <c r="U20" s="17"/>
    </row>
    <row r="21" spans="1:21" x14ac:dyDescent="0.25">
      <c r="A21" s="94"/>
      <c r="B21" s="17"/>
      <c r="C21" s="17"/>
      <c r="D21" s="17"/>
      <c r="E21" s="17"/>
      <c r="F21" s="18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9"/>
      <c r="S21" s="17"/>
      <c r="T21" s="18"/>
      <c r="U21" s="17"/>
    </row>
    <row r="22" spans="1:21" x14ac:dyDescent="0.25">
      <c r="A22" s="94"/>
      <c r="B22" s="17"/>
      <c r="C22" s="17"/>
      <c r="D22" s="17"/>
      <c r="E22" s="17"/>
      <c r="F22" s="18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9"/>
      <c r="S22" s="17"/>
      <c r="T22" s="18"/>
      <c r="U22" s="17"/>
    </row>
    <row r="23" spans="1:21" x14ac:dyDescent="0.25">
      <c r="A23" s="94"/>
    </row>
    <row r="24" spans="1:21" x14ac:dyDescent="0.25">
      <c r="A24" s="94"/>
    </row>
    <row r="25" spans="1:21" x14ac:dyDescent="0.25">
      <c r="A25" s="94"/>
    </row>
    <row r="26" spans="1:21" x14ac:dyDescent="0.25">
      <c r="A26" s="94"/>
    </row>
    <row r="27" spans="1:21" x14ac:dyDescent="0.25">
      <c r="A27" s="94"/>
    </row>
    <row r="28" spans="1:21" x14ac:dyDescent="0.25">
      <c r="A28" s="94"/>
    </row>
    <row r="29" spans="1:21" x14ac:dyDescent="0.25">
      <c r="A29" s="94"/>
    </row>
    <row r="30" spans="1:21" x14ac:dyDescent="0.25">
      <c r="A30" s="94"/>
    </row>
    <row r="31" spans="1:21" x14ac:dyDescent="0.25">
      <c r="A31" s="94"/>
    </row>
    <row r="33" spans="4:18" ht="14.4" x14ac:dyDescent="0.3">
      <c r="Q33" s="3"/>
      <c r="R33" s="15"/>
    </row>
    <row r="42" spans="4:18" x14ac:dyDescent="0.25">
      <c r="D42" s="5"/>
    </row>
  </sheetData>
  <sheetProtection sheet="1" objects="1" scenarios="1"/>
  <mergeCells count="1">
    <mergeCell ref="A8:A31"/>
  </mergeCells>
  <dataValidations count="21">
    <dataValidation type="list" allowBlank="1" showInputMessage="1" showErrorMessage="1" sqref="P2" xr:uid="{931EE625-F7C7-4C83-8DFE-7EE27940ED10}">
      <formula1>INDIRECT(#REF!)</formula1>
    </dataValidation>
    <dataValidation type="list" allowBlank="1" showInputMessage="1" showErrorMessage="1" sqref="P6:P7" xr:uid="{AFDE8083-A71F-412F-8D2A-C2E938C755F0}">
      <formula1>INDIRECT($G$13)</formula1>
    </dataValidation>
    <dataValidation type="textLength" allowBlank="1" showInputMessage="1" showErrorMessage="1" errorTitle="Revisar Datos" error="Debes de poner un dato, minimo 5 caracteres máximo 30" sqref="T2:T7" xr:uid="{3DC2FB65-C0CD-4BB8-935A-945F53C74C45}">
      <formula1>5</formula1>
      <formula2>30</formula2>
    </dataValidation>
    <dataValidation type="date" allowBlank="1" showInputMessage="1" showErrorMessage="1" errorTitle="Fecha" error="Validar su fecha de nacimiento" sqref="F2:F7" xr:uid="{59EB9101-A524-4F8D-8676-1E163072BF10}">
      <formula1>14611</formula1>
      <formula2>41639</formula2>
    </dataValidation>
    <dataValidation type="textLength" operator="lessThan" allowBlank="1" showInputMessage="1" showErrorMessage="1" error="Validar datos" sqref="I2 I4:I7" xr:uid="{2624998F-406A-4D51-8F86-B566C074BDF2}">
      <formula1>50</formula1>
    </dataValidation>
    <dataValidation type="date" allowBlank="1" showInputMessage="1" showErrorMessage="1" error="Validar fechas nacimiento responsable" sqref="J2:J7" xr:uid="{2664B546-55E6-4B88-BA02-6EF073A00B45}">
      <formula1>10959</formula1>
      <formula2>36861</formula2>
    </dataValidation>
    <dataValidation type="decimal" allowBlank="1" showInputMessage="1" showErrorMessage="1" error="Validar información" sqref="M2:M7" xr:uid="{A544348B-7D37-4A83-8A83-9F63601A5D5C}">
      <formula1>1000</formula1>
      <formula2>99999</formula2>
    </dataValidation>
    <dataValidation type="custom" allowBlank="1" showInputMessage="1" showErrorMessage="1" error="Valida correo electrónico" sqref="Q2:Q7" xr:uid="{355DE33E-75A0-403A-AD46-24D55A27E577}">
      <formula1>ISNUMBER(MATCH("*@*.?*",Q2,0))</formula1>
    </dataValidation>
    <dataValidation type="whole" allowBlank="1" showInputMessage="1" showErrorMessage="1" sqref="R2:R7" xr:uid="{84BEA38A-58BC-45A8-8405-901E556C212E}">
      <formula1>1111111111</formula1>
      <formula2>9999999999</formula2>
    </dataValidation>
    <dataValidation type="textLength" allowBlank="1" showInputMessage="1" showErrorMessage="1" error="Validar el nombre" sqref="C2 C4:C7" xr:uid="{3DBF8130-AE31-4D5A-9688-296E2242ECAB}">
      <formula1>2</formula1>
      <formula2>30</formula2>
    </dataValidation>
    <dataValidation type="textLength" allowBlank="1" showInputMessage="1" showErrorMessage="1" error="Validar el apellido paterno" sqref="D2 D4:D7" xr:uid="{5FD6172F-E4D7-42C3-9F5E-6B003B6D23A8}">
      <formula1>2</formula1>
      <formula2>30</formula2>
    </dataValidation>
    <dataValidation type="textLength" allowBlank="1" showInputMessage="1" showErrorMessage="1" error="Valida el apellido paterno" sqref="E2 E4:E7" xr:uid="{694663F8-0BB8-4FC3-B36D-8989656E49BE}">
      <formula1>1</formula1>
      <formula2>30</formula2>
    </dataValidation>
    <dataValidation type="whole" allowBlank="1" showInputMessage="1" showErrorMessage="1" sqref="H2:H7" xr:uid="{D51941E9-02DB-4CEB-9302-70AED2220B8F}">
      <formula1>10</formula1>
      <formula2>70</formula2>
    </dataValidation>
    <dataValidation type="whole" allowBlank="1" showInputMessage="1" showErrorMessage="1" sqref="K2:K7" xr:uid="{374C007A-AA57-412E-AF0F-6523B98ED286}">
      <formula1>20</formula1>
      <formula2>70</formula2>
    </dataValidation>
    <dataValidation type="textLength" operator="lessThan" allowBlank="1" showInputMessage="1" showErrorMessage="1" errorTitle="Revisar Datos" error="Debes de poner un dato, minimo 5 caracteres máximo 30" sqref="N2:N7" xr:uid="{1AEFF4CC-8A82-4097-991F-6BEE076340F7}">
      <formula1>70</formula1>
    </dataValidation>
    <dataValidation type="list" allowBlank="1" showInputMessage="1" showErrorMessage="1" sqref="P5" xr:uid="{9169E5BC-B930-4A78-9A3A-22F604A50EA4}">
      <formula1>INDIRECT($G$12)</formula1>
    </dataValidation>
    <dataValidation type="list" allowBlank="1" showInputMessage="1" showErrorMessage="1" sqref="P4" xr:uid="{0904E5EF-EB85-44F7-80CD-1082FA83EECB}">
      <formula1>INDIRECT($G$11)</formula1>
    </dataValidation>
    <dataValidation type="custom" allowBlank="1" showInputMessage="1" showErrorMessage="1" error="Solo puedes ingresar letras_x000a_" sqref="C3" xr:uid="{3D7D6790-4EBE-4497-8C26-9352AD3B78BA}">
      <formula1>ISTEXT(C3)</formula1>
    </dataValidation>
    <dataValidation type="custom" allowBlank="1" showInputMessage="1" showErrorMessage="1" error="Solo se permiten letras" sqref="D3:E3" xr:uid="{F764CF52-CA35-4A36-A525-2A2388455E61}">
      <formula1>ISTEXT(D3)</formula1>
    </dataValidation>
    <dataValidation type="custom" operator="lessThan" allowBlank="1" showInputMessage="1" showErrorMessage="1" error="Validar datos" sqref="I3" xr:uid="{F256C10E-9544-4460-87D9-8C540D3D014A}">
      <formula1>ISTEXT(I3)</formula1>
    </dataValidation>
    <dataValidation type="list" allowBlank="1" showInputMessage="1" showErrorMessage="1" sqref="P3" xr:uid="{443E1685-0FE9-4F3C-BAEA-2E574944E268}">
      <formula1>INDIRECT($G$10)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error="Validar Datos_x000a_" xr:uid="{31E11CF1-E518-450F-AC52-6E6307243586}">
          <x14:formula1>
            <xm:f>'  '!$M$2:$M$3</xm:f>
          </x14:formula1>
          <xm:sqref>S33:S34</xm:sqref>
        </x14:dataValidation>
        <x14:dataValidation type="list" allowBlank="1" showInputMessage="1" showErrorMessage="1" xr:uid="{991A8A9F-ADBD-480B-ADA0-B05C198CF843}">
          <x14:formula1>
            <xm:f>'  '!$M$2</xm:f>
          </x14:formula1>
          <xm:sqref>S2:S6</xm:sqref>
        </x14:dataValidation>
        <x14:dataValidation type="list" allowBlank="1" showInputMessage="1" showErrorMessage="1" xr:uid="{5AD6A062-DEEB-4D3C-BEA1-8DBA81F652E2}">
          <x14:formula1>
            <xm:f>OFFSET('  '!$M$2,0,0,COUNTA('  '!$M:$M)-1)</xm:f>
          </x14:formula1>
          <xm:sqref>S7</xm:sqref>
        </x14:dataValidation>
        <x14:dataValidation type="list" allowBlank="1" showInputMessage="1" showErrorMessage="1" xr:uid="{E1461177-AF16-448C-AAC8-6FB77E9478D0}">
          <x14:formula1>
            <xm:f>'  '!$AJ$1:$BO$1</xm:f>
          </x14:formula1>
          <xm:sqref>O2:O7</xm:sqref>
        </x14:dataValidation>
        <x14:dataValidation type="list" allowBlank="1" showInputMessage="1" showErrorMessage="1" error="validar datos" xr:uid="{B66C1356-FFCB-4AAC-A33B-46E02FB158F6}">
          <x14:formula1>
            <xm:f>OFFSET('  '!$A$2,0,0,COUNTA('  '!$A:$A)-1)</xm:f>
          </x14:formula1>
          <xm:sqref>G2:G7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5802C-CF62-4AA8-BCC0-495105CA314E}">
  <sheetPr codeName="Sheet4"/>
  <dimension ref="A1:X3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D16" sqref="D16"/>
    </sheetView>
  </sheetViews>
  <sheetFormatPr defaultColWidth="8.77734375" defaultRowHeight="13.8" x14ac:dyDescent="0.25"/>
  <cols>
    <col min="1" max="1" width="4.77734375" style="1" customWidth="1"/>
    <col min="2" max="2" width="4.77734375" style="1" bestFit="1" customWidth="1"/>
    <col min="3" max="3" width="8.33203125" style="1" bestFit="1" customWidth="1"/>
    <col min="4" max="4" width="17.77734375" style="1" customWidth="1"/>
    <col min="5" max="5" width="9.5546875" style="4" bestFit="1" customWidth="1"/>
    <col min="6" max="6" width="9.6640625" style="4" bestFit="1" customWidth="1"/>
    <col min="7" max="8" width="9.77734375" style="4" bestFit="1" customWidth="1"/>
    <col min="9" max="9" width="10" style="1" customWidth="1"/>
    <col min="10" max="10" width="14.6640625" style="1" customWidth="1"/>
    <col min="11" max="11" width="17.109375" style="1" customWidth="1"/>
    <col min="12" max="12" width="8.21875" style="1" bestFit="1" customWidth="1"/>
    <col min="13" max="13" width="13.109375" style="1" bestFit="1" customWidth="1"/>
    <col min="14" max="14" width="10.109375" style="1" bestFit="1" customWidth="1"/>
    <col min="15" max="16" width="6.5546875" style="1" bestFit="1" customWidth="1"/>
    <col min="17" max="17" width="10.6640625" style="1" bestFit="1" customWidth="1"/>
    <col min="18" max="18" width="9.77734375" style="1" bestFit="1" customWidth="1"/>
    <col min="19" max="19" width="7" style="1" bestFit="1" customWidth="1"/>
    <col min="20" max="20" width="11.77734375" style="1" bestFit="1" customWidth="1"/>
    <col min="21" max="21" width="8.77734375" style="76"/>
    <col min="22" max="22" width="10.44140625" style="1" bestFit="1" customWidth="1"/>
    <col min="23" max="23" width="10.6640625" style="1" bestFit="1" customWidth="1"/>
    <col min="24" max="24" width="12.21875" style="1" bestFit="1" customWidth="1"/>
    <col min="25" max="16384" width="8.77734375" style="1"/>
  </cols>
  <sheetData>
    <row r="1" spans="1:24" ht="39.6" x14ac:dyDescent="0.25">
      <c r="A1" s="6"/>
      <c r="B1" s="10" t="s">
        <v>21</v>
      </c>
      <c r="C1" s="10" t="s">
        <v>2476</v>
      </c>
      <c r="D1" s="10" t="s">
        <v>0</v>
      </c>
      <c r="E1" s="11" t="s">
        <v>2477</v>
      </c>
      <c r="F1" s="11" t="s">
        <v>2478</v>
      </c>
      <c r="G1" s="11" t="s">
        <v>2479</v>
      </c>
      <c r="H1" s="11" t="s">
        <v>2480</v>
      </c>
      <c r="I1" s="10" t="s">
        <v>2481</v>
      </c>
      <c r="J1" s="10" t="s">
        <v>2404</v>
      </c>
      <c r="K1" s="10" t="s">
        <v>2454</v>
      </c>
      <c r="L1" s="10" t="s">
        <v>2405</v>
      </c>
      <c r="M1" s="10" t="s">
        <v>2409</v>
      </c>
      <c r="N1" s="10" t="s">
        <v>2410</v>
      </c>
      <c r="O1" s="82" t="s">
        <v>2455</v>
      </c>
      <c r="P1" s="80" t="s">
        <v>2456</v>
      </c>
      <c r="Q1" s="10" t="s">
        <v>2444</v>
      </c>
      <c r="R1" s="10" t="s">
        <v>2488</v>
      </c>
      <c r="S1" s="10" t="s">
        <v>2487</v>
      </c>
      <c r="T1" s="10" t="s">
        <v>2482</v>
      </c>
      <c r="U1" s="81" t="s">
        <v>2483</v>
      </c>
      <c r="V1" s="10" t="s">
        <v>2484</v>
      </c>
      <c r="W1" s="81" t="s">
        <v>2485</v>
      </c>
      <c r="X1" s="10" t="s">
        <v>2486</v>
      </c>
    </row>
    <row r="2" spans="1:24" ht="15.6" x14ac:dyDescent="0.3">
      <c r="A2" s="6"/>
      <c r="B2" s="66"/>
      <c r="C2" s="62"/>
      <c r="D2" s="63"/>
      <c r="E2" s="22"/>
      <c r="F2" s="22"/>
      <c r="G2" s="22"/>
      <c r="H2" s="22"/>
      <c r="I2" s="63"/>
      <c r="J2" s="69"/>
      <c r="K2" s="69"/>
      <c r="L2" s="70"/>
      <c r="M2" s="64"/>
      <c r="N2" s="64"/>
      <c r="O2" s="65"/>
      <c r="P2" s="65"/>
      <c r="Q2" s="64"/>
      <c r="R2" s="22"/>
      <c r="S2" s="69"/>
      <c r="T2" s="22"/>
      <c r="W2" s="76"/>
    </row>
    <row r="3" spans="1:24" ht="15.6" x14ac:dyDescent="0.3">
      <c r="A3" s="6"/>
      <c r="B3" s="66">
        <v>2</v>
      </c>
      <c r="C3" s="62">
        <v>10002</v>
      </c>
      <c r="D3" s="63" t="s">
        <v>2471</v>
      </c>
      <c r="E3" s="22">
        <v>45313</v>
      </c>
      <c r="F3" s="22">
        <v>45320</v>
      </c>
      <c r="G3" s="22">
        <v>45685</v>
      </c>
      <c r="H3" s="22">
        <v>45685</v>
      </c>
      <c r="I3" s="63" t="s">
        <v>17</v>
      </c>
      <c r="J3" s="79" t="s">
        <v>2475</v>
      </c>
      <c r="K3" s="79" t="s">
        <v>2475</v>
      </c>
      <c r="L3" s="78" t="s">
        <v>36</v>
      </c>
      <c r="M3" s="64">
        <v>200</v>
      </c>
      <c r="N3" s="64">
        <v>300</v>
      </c>
      <c r="O3" s="65">
        <v>0.1</v>
      </c>
      <c r="P3" s="65">
        <v>0.1</v>
      </c>
      <c r="Q3" s="64">
        <v>300</v>
      </c>
      <c r="R3" s="22">
        <v>45685</v>
      </c>
      <c r="S3" s="69" t="s">
        <v>2407</v>
      </c>
      <c r="T3" s="22">
        <v>45319</v>
      </c>
      <c r="U3" s="77"/>
      <c r="V3" s="64"/>
      <c r="W3" s="77"/>
      <c r="X3" s="64"/>
    </row>
    <row r="4" spans="1:24" ht="15.6" x14ac:dyDescent="0.3">
      <c r="A4" s="6"/>
      <c r="B4" s="66">
        <v>1</v>
      </c>
      <c r="C4" s="62">
        <v>10001</v>
      </c>
      <c r="D4" s="63" t="s">
        <v>2464</v>
      </c>
      <c r="E4" s="22">
        <v>45313</v>
      </c>
      <c r="F4" s="22">
        <v>45314</v>
      </c>
      <c r="G4" s="22">
        <v>45679</v>
      </c>
      <c r="H4" s="22">
        <v>45679</v>
      </c>
      <c r="I4" s="63" t="s">
        <v>17</v>
      </c>
      <c r="J4" s="72" t="s">
        <v>2473</v>
      </c>
      <c r="K4" s="72" t="s">
        <v>2474</v>
      </c>
      <c r="L4" s="78" t="s">
        <v>36</v>
      </c>
      <c r="M4" s="64">
        <v>200</v>
      </c>
      <c r="N4" s="64">
        <v>300</v>
      </c>
      <c r="O4" s="65">
        <v>0</v>
      </c>
      <c r="P4" s="65">
        <v>0</v>
      </c>
      <c r="Q4" s="64">
        <v>300</v>
      </c>
      <c r="R4" s="22">
        <v>45679</v>
      </c>
      <c r="S4" s="69" t="s">
        <v>2407</v>
      </c>
      <c r="T4" s="22">
        <v>45313</v>
      </c>
      <c r="U4" s="77"/>
      <c r="V4" s="64"/>
      <c r="W4" s="77"/>
      <c r="X4" s="64"/>
    </row>
    <row r="5" spans="1:24" ht="14.4" x14ac:dyDescent="0.3">
      <c r="A5" s="6"/>
      <c r="B5" s="66">
        <v>0</v>
      </c>
      <c r="C5" s="62"/>
      <c r="D5" s="63"/>
      <c r="E5" s="63"/>
      <c r="F5" s="63"/>
      <c r="G5" s="63"/>
      <c r="H5" s="63"/>
      <c r="I5" s="63"/>
      <c r="J5" s="63"/>
      <c r="K5" s="63"/>
      <c r="L5" s="63"/>
      <c r="M5" s="64"/>
      <c r="N5" s="64"/>
      <c r="O5" s="65"/>
      <c r="P5" s="65"/>
      <c r="Q5" s="64"/>
      <c r="R5" s="22"/>
      <c r="S5" s="63"/>
      <c r="T5" s="22"/>
      <c r="U5" s="77"/>
      <c r="V5" s="64"/>
      <c r="W5" s="77"/>
      <c r="X5" s="64"/>
    </row>
    <row r="6" spans="1:24" ht="14.4" x14ac:dyDescent="0.3">
      <c r="A6" s="6"/>
      <c r="B6" s="66"/>
      <c r="C6" s="62"/>
      <c r="D6" s="63"/>
      <c r="E6" s="22"/>
      <c r="F6" s="22"/>
      <c r="G6" s="22"/>
      <c r="H6" s="22"/>
      <c r="I6" s="63"/>
      <c r="J6" s="63"/>
      <c r="K6" s="63"/>
      <c r="L6" s="63"/>
      <c r="M6" s="64"/>
      <c r="N6" s="64"/>
      <c r="O6" s="65"/>
      <c r="P6" s="65"/>
      <c r="Q6" s="64"/>
      <c r="R6" s="22"/>
      <c r="S6" s="63"/>
      <c r="T6" s="63"/>
      <c r="U6" s="77"/>
      <c r="V6" s="64"/>
      <c r="W6" s="77"/>
      <c r="X6" s="64"/>
    </row>
    <row r="7" spans="1:24" x14ac:dyDescent="0.25">
      <c r="A7" s="94" t="s">
        <v>2417</v>
      </c>
    </row>
    <row r="8" spans="1:24" x14ac:dyDescent="0.25">
      <c r="A8" s="94"/>
    </row>
    <row r="9" spans="1:24" x14ac:dyDescent="0.25">
      <c r="A9" s="94"/>
    </row>
    <row r="10" spans="1:24" x14ac:dyDescent="0.25">
      <c r="A10" s="94"/>
    </row>
    <row r="11" spans="1:24" x14ac:dyDescent="0.25">
      <c r="A11" s="94"/>
    </row>
    <row r="12" spans="1:24" x14ac:dyDescent="0.25">
      <c r="A12" s="94"/>
    </row>
    <row r="13" spans="1:24" x14ac:dyDescent="0.25">
      <c r="A13" s="94"/>
      <c r="E13" s="12"/>
    </row>
    <row r="14" spans="1:24" x14ac:dyDescent="0.25">
      <c r="A14" s="94"/>
    </row>
    <row r="15" spans="1:24" x14ac:dyDescent="0.25">
      <c r="A15" s="94"/>
    </row>
    <row r="16" spans="1:24" x14ac:dyDescent="0.25">
      <c r="A16" s="94"/>
    </row>
    <row r="17" spans="1:1" x14ac:dyDescent="0.25">
      <c r="A17" s="94"/>
    </row>
    <row r="18" spans="1:1" x14ac:dyDescent="0.25">
      <c r="A18" s="94"/>
    </row>
    <row r="19" spans="1:1" x14ac:dyDescent="0.25">
      <c r="A19" s="94"/>
    </row>
    <row r="20" spans="1:1" x14ac:dyDescent="0.25">
      <c r="A20" s="94"/>
    </row>
    <row r="21" spans="1:1" x14ac:dyDescent="0.25">
      <c r="A21" s="94"/>
    </row>
    <row r="22" spans="1:1" x14ac:dyDescent="0.25">
      <c r="A22" s="94"/>
    </row>
    <row r="23" spans="1:1" x14ac:dyDescent="0.25">
      <c r="A23" s="94"/>
    </row>
    <row r="24" spans="1:1" x14ac:dyDescent="0.25">
      <c r="A24" s="94"/>
    </row>
    <row r="25" spans="1:1" x14ac:dyDescent="0.25">
      <c r="A25" s="94"/>
    </row>
    <row r="26" spans="1:1" x14ac:dyDescent="0.25">
      <c r="A26" s="94"/>
    </row>
    <row r="27" spans="1:1" x14ac:dyDescent="0.25">
      <c r="A27" s="94"/>
    </row>
    <row r="28" spans="1:1" x14ac:dyDescent="0.25">
      <c r="A28" s="94"/>
    </row>
    <row r="29" spans="1:1" x14ac:dyDescent="0.25">
      <c r="A29" s="94"/>
    </row>
    <row r="30" spans="1:1" x14ac:dyDescent="0.25">
      <c r="A30" s="94"/>
    </row>
    <row r="31" spans="1:1" x14ac:dyDescent="0.25">
      <c r="A31" s="7"/>
    </row>
  </sheetData>
  <mergeCells count="1">
    <mergeCell ref="A7:A3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0A9DA-EA82-4EA1-9E76-3E0EF9999F16}">
  <sheetPr codeName="Sheet3"/>
  <dimension ref="A1:BO571"/>
  <sheetViews>
    <sheetView tabSelected="1" topLeftCell="AA1" zoomScale="80" zoomScaleNormal="80" workbookViewId="0">
      <selection activeCell="A7" sqref="A7"/>
    </sheetView>
  </sheetViews>
  <sheetFormatPr defaultColWidth="8.77734375" defaultRowHeight="13.8" x14ac:dyDescent="0.25"/>
  <cols>
    <col min="1" max="1" width="10.33203125" style="1" bestFit="1" customWidth="1"/>
    <col min="2" max="2" width="3.6640625" style="1" customWidth="1"/>
    <col min="3" max="3" width="10.88671875" style="1" bestFit="1" customWidth="1"/>
    <col min="4" max="4" width="3.6640625" style="1" customWidth="1"/>
    <col min="5" max="5" width="14.5546875" style="1" bestFit="1" customWidth="1"/>
    <col min="6" max="6" width="3.6640625" style="1" customWidth="1"/>
    <col min="7" max="7" width="15.77734375" style="1" bestFit="1" customWidth="1"/>
    <col min="8" max="8" width="3.6640625" style="1" customWidth="1"/>
    <col min="9" max="9" width="13.77734375" style="1" bestFit="1" customWidth="1"/>
    <col min="10" max="10" width="12" style="41" bestFit="1" customWidth="1"/>
    <col min="11" max="11" width="7.77734375" style="1" bestFit="1" customWidth="1"/>
    <col min="12" max="12" width="3.6640625" style="1" customWidth="1"/>
    <col min="13" max="13" width="11" style="1" bestFit="1" customWidth="1"/>
    <col min="14" max="14" width="3.109375" style="1" customWidth="1"/>
    <col min="15" max="15" width="13.21875" style="1" bestFit="1" customWidth="1"/>
    <col min="16" max="17" width="13.21875" style="1" customWidth="1"/>
    <col min="18" max="18" width="14.44140625" style="41" bestFit="1" customWidth="1"/>
    <col min="19" max="19" width="11.77734375" style="41" bestFit="1" customWidth="1"/>
    <col min="20" max="20" width="12" style="41" bestFit="1" customWidth="1"/>
    <col min="21" max="21" width="16.109375" style="41" bestFit="1" customWidth="1"/>
    <col min="22" max="22" width="17.21875" style="1" bestFit="1" customWidth="1"/>
    <col min="23" max="23" width="3.88671875" style="1" customWidth="1"/>
    <col min="24" max="24" width="10.109375" style="1" bestFit="1" customWidth="1"/>
    <col min="25" max="25" width="6.88671875" style="1" bestFit="1" customWidth="1"/>
    <col min="26" max="26" width="7.6640625" style="1" bestFit="1" customWidth="1"/>
    <col min="27" max="27" width="3.88671875" style="1" customWidth="1"/>
    <col min="28" max="28" width="11" style="1" bestFit="1" customWidth="1"/>
    <col min="29" max="29" width="3.88671875" style="1" customWidth="1"/>
    <col min="30" max="30" width="12.33203125" style="1" customWidth="1"/>
    <col min="31" max="35" width="3.88671875" style="1" customWidth="1"/>
    <col min="36" max="67" width="13.33203125" style="1" customWidth="1"/>
    <col min="68" max="71" width="23.33203125" style="1" customWidth="1"/>
    <col min="72" max="16384" width="8.77734375" style="1"/>
  </cols>
  <sheetData>
    <row r="1" spans="1:67" ht="15" x14ac:dyDescent="0.25">
      <c r="A1" s="2" t="s">
        <v>6</v>
      </c>
      <c r="C1" s="2" t="s">
        <v>2401</v>
      </c>
      <c r="E1" s="2" t="s">
        <v>2412</v>
      </c>
      <c r="G1" s="2" t="s">
        <v>2413</v>
      </c>
      <c r="I1" s="2" t="s">
        <v>15</v>
      </c>
      <c r="J1" s="40" t="s">
        <v>2420</v>
      </c>
      <c r="K1" s="2" t="s">
        <v>2421</v>
      </c>
      <c r="M1" s="2" t="s">
        <v>44</v>
      </c>
      <c r="O1" s="8" t="s">
        <v>2414</v>
      </c>
      <c r="P1" s="42" t="s">
        <v>2433</v>
      </c>
      <c r="Q1" s="42" t="s">
        <v>2447</v>
      </c>
      <c r="R1" s="43" t="s">
        <v>2438</v>
      </c>
      <c r="S1" s="43" t="s">
        <v>2439</v>
      </c>
      <c r="T1" s="43" t="s">
        <v>2443</v>
      </c>
      <c r="U1" s="43" t="s">
        <v>2445</v>
      </c>
      <c r="V1" s="42" t="s">
        <v>2446</v>
      </c>
      <c r="X1" s="1" t="s">
        <v>2423</v>
      </c>
      <c r="Y1" s="1" t="s">
        <v>2431</v>
      </c>
      <c r="Z1" s="1" t="s">
        <v>2432</v>
      </c>
      <c r="AB1" s="8" t="s">
        <v>2406</v>
      </c>
      <c r="AD1" s="1" t="s">
        <v>2453</v>
      </c>
      <c r="AJ1" s="2" t="s">
        <v>2370</v>
      </c>
      <c r="AK1" s="2" t="s">
        <v>2371</v>
      </c>
      <c r="AL1" s="2" t="s">
        <v>2372</v>
      </c>
      <c r="AM1" s="2" t="s">
        <v>2373</v>
      </c>
      <c r="AN1" s="2" t="s">
        <v>2374</v>
      </c>
      <c r="AO1" s="2" t="s">
        <v>2375</v>
      </c>
      <c r="AP1" s="2" t="s">
        <v>2376</v>
      </c>
      <c r="AQ1" s="2" t="s">
        <v>2377</v>
      </c>
      <c r="AR1" s="2" t="s">
        <v>2378</v>
      </c>
      <c r="AS1" s="2" t="s">
        <v>2379</v>
      </c>
      <c r="AT1" s="2" t="s">
        <v>2380</v>
      </c>
      <c r="AU1" s="2" t="s">
        <v>2381</v>
      </c>
      <c r="AV1" s="2" t="s">
        <v>2382</v>
      </c>
      <c r="AW1" s="2" t="s">
        <v>2383</v>
      </c>
      <c r="AX1" s="2" t="s">
        <v>2384</v>
      </c>
      <c r="AY1" s="2" t="s">
        <v>2385</v>
      </c>
      <c r="AZ1" s="2" t="s">
        <v>2386</v>
      </c>
      <c r="BA1" s="2" t="s">
        <v>2387</v>
      </c>
      <c r="BB1" s="2" t="s">
        <v>2388</v>
      </c>
      <c r="BC1" s="2" t="s">
        <v>2389</v>
      </c>
      <c r="BD1" s="2" t="s">
        <v>2390</v>
      </c>
      <c r="BE1" s="2" t="s">
        <v>41</v>
      </c>
      <c r="BF1" s="2" t="s">
        <v>2391</v>
      </c>
      <c r="BG1" s="2" t="s">
        <v>2392</v>
      </c>
      <c r="BH1" s="2" t="s">
        <v>2393</v>
      </c>
      <c r="BI1" s="2" t="s">
        <v>2394</v>
      </c>
      <c r="BJ1" s="2" t="s">
        <v>2395</v>
      </c>
      <c r="BK1" s="2" t="s">
        <v>2396</v>
      </c>
      <c r="BL1" s="2" t="s">
        <v>2397</v>
      </c>
      <c r="BM1" s="2" t="s">
        <v>2398</v>
      </c>
      <c r="BN1" s="2" t="s">
        <v>2399</v>
      </c>
      <c r="BO1" s="2" t="s">
        <v>2400</v>
      </c>
    </row>
    <row r="2" spans="1:67" ht="14.4" x14ac:dyDescent="0.3">
      <c r="A2" s="1" t="s">
        <v>7</v>
      </c>
      <c r="C2" s="1" t="s">
        <v>9</v>
      </c>
      <c r="E2" s="1" t="s">
        <v>2402</v>
      </c>
      <c r="G2" s="1" t="s">
        <v>12</v>
      </c>
      <c r="I2" s="1" t="s">
        <v>16</v>
      </c>
      <c r="J2" s="41">
        <v>100</v>
      </c>
      <c r="M2" s="1" t="s">
        <v>36</v>
      </c>
      <c r="O2" s="1" t="s">
        <v>17</v>
      </c>
      <c r="P2" s="1">
        <v>365</v>
      </c>
      <c r="Q2" s="1">
        <v>365</v>
      </c>
      <c r="R2" s="41">
        <v>200</v>
      </c>
      <c r="S2" s="41">
        <v>300</v>
      </c>
      <c r="T2" s="41">
        <v>300</v>
      </c>
      <c r="U2" s="41" t="s">
        <v>2444</v>
      </c>
      <c r="V2" s="41"/>
      <c r="X2" s="1" t="s">
        <v>2424</v>
      </c>
      <c r="Y2" s="1">
        <v>1</v>
      </c>
      <c r="Z2" s="1">
        <v>1</v>
      </c>
      <c r="AB2" s="1" t="s">
        <v>2407</v>
      </c>
      <c r="AD2" s="59">
        <v>0</v>
      </c>
      <c r="AJ2" t="s">
        <v>55</v>
      </c>
      <c r="AK2" t="s">
        <v>56</v>
      </c>
      <c r="AL2" t="s">
        <v>61</v>
      </c>
      <c r="AM2" t="s">
        <v>66</v>
      </c>
      <c r="AN2" t="s">
        <v>79</v>
      </c>
      <c r="AO2" t="s">
        <v>203</v>
      </c>
      <c r="AP2" t="s">
        <v>268</v>
      </c>
      <c r="AQ2" t="s">
        <v>282</v>
      </c>
      <c r="AR2" t="s">
        <v>313</v>
      </c>
      <c r="AS2" t="s">
        <v>322</v>
      </c>
      <c r="AT2" t="s">
        <v>359</v>
      </c>
      <c r="AU2" t="s">
        <v>282</v>
      </c>
      <c r="AV2" t="s">
        <v>523</v>
      </c>
      <c r="AW2" t="s">
        <v>603</v>
      </c>
      <c r="AX2" t="s">
        <v>684</v>
      </c>
      <c r="AY2" t="s">
        <v>802</v>
      </c>
      <c r="AZ2" t="s">
        <v>905</v>
      </c>
      <c r="BA2" t="s">
        <v>936</v>
      </c>
      <c r="BB2" t="s">
        <v>282</v>
      </c>
      <c r="BC2" t="s">
        <v>997</v>
      </c>
      <c r="BD2" t="s">
        <v>1563</v>
      </c>
      <c r="BE2" t="s">
        <v>1767</v>
      </c>
      <c r="BF2" t="s">
        <v>1816</v>
      </c>
      <c r="BG2" t="s">
        <v>1817</v>
      </c>
      <c r="BH2" t="s">
        <v>1844</v>
      </c>
      <c r="BI2" t="s">
        <v>1861</v>
      </c>
      <c r="BJ2" t="s">
        <v>1925</v>
      </c>
      <c r="BK2" t="s">
        <v>282</v>
      </c>
      <c r="BL2" t="s">
        <v>1969</v>
      </c>
      <c r="BM2" t="s">
        <v>1563</v>
      </c>
      <c r="BN2" t="s">
        <v>2216</v>
      </c>
      <c r="BO2" t="s">
        <v>2320</v>
      </c>
    </row>
    <row r="3" spans="1:67" ht="14.4" x14ac:dyDescent="0.3">
      <c r="A3" s="1" t="s">
        <v>8</v>
      </c>
      <c r="C3" s="1" t="s">
        <v>10</v>
      </c>
      <c r="G3" s="1" t="s">
        <v>14</v>
      </c>
      <c r="I3" s="1" t="s">
        <v>17</v>
      </c>
      <c r="J3" s="41">
        <v>500</v>
      </c>
      <c r="K3" s="1">
        <v>30</v>
      </c>
      <c r="M3" s="1" t="s">
        <v>37</v>
      </c>
      <c r="O3" s="1" t="s">
        <v>20</v>
      </c>
      <c r="P3" s="1">
        <v>365</v>
      </c>
      <c r="Q3" s="1">
        <v>365</v>
      </c>
      <c r="R3" s="41">
        <v>200</v>
      </c>
      <c r="S3" s="41">
        <v>2400</v>
      </c>
      <c r="T3" s="41">
        <v>200</v>
      </c>
      <c r="U3" s="41" t="s">
        <v>2444</v>
      </c>
      <c r="V3" s="41"/>
      <c r="X3" s="1" t="s">
        <v>2425</v>
      </c>
      <c r="Y3" s="1">
        <v>2</v>
      </c>
      <c r="Z3" s="1">
        <v>0</v>
      </c>
      <c r="AB3" s="1" t="s">
        <v>2408</v>
      </c>
      <c r="AD3" s="59">
        <v>0.1</v>
      </c>
      <c r="AJ3" t="s">
        <v>54</v>
      </c>
      <c r="AK3" t="s">
        <v>57</v>
      </c>
      <c r="AL3" t="s">
        <v>62</v>
      </c>
      <c r="AM3" t="s">
        <v>67</v>
      </c>
      <c r="AN3" t="s">
        <v>80</v>
      </c>
      <c r="AO3" t="s">
        <v>190</v>
      </c>
      <c r="AP3" t="s">
        <v>269</v>
      </c>
      <c r="AQ3" t="s">
        <v>283</v>
      </c>
      <c r="AR3" t="s">
        <v>314</v>
      </c>
      <c r="AS3" t="s">
        <v>323</v>
      </c>
      <c r="AT3" t="s">
        <v>360</v>
      </c>
      <c r="AU3" t="s">
        <v>480</v>
      </c>
      <c r="AV3" t="s">
        <v>524</v>
      </c>
      <c r="AW3" t="s">
        <v>604</v>
      </c>
      <c r="AX3" t="s">
        <v>685</v>
      </c>
      <c r="AY3" t="s">
        <v>803</v>
      </c>
      <c r="AZ3" t="s">
        <v>906</v>
      </c>
      <c r="BA3" t="s">
        <v>937</v>
      </c>
      <c r="BB3" t="s">
        <v>954</v>
      </c>
      <c r="BC3" t="s">
        <v>998</v>
      </c>
      <c r="BD3" t="s">
        <v>1564</v>
      </c>
      <c r="BE3" t="s">
        <v>1768</v>
      </c>
      <c r="BF3" t="s">
        <v>1815</v>
      </c>
      <c r="BG3" t="s">
        <v>1818</v>
      </c>
      <c r="BH3" t="s">
        <v>1845</v>
      </c>
      <c r="BI3" t="s">
        <v>1862</v>
      </c>
      <c r="BJ3" t="s">
        <v>1802</v>
      </c>
      <c r="BK3" t="s">
        <v>190</v>
      </c>
      <c r="BL3" t="s">
        <v>1970</v>
      </c>
      <c r="BM3" t="s">
        <v>603</v>
      </c>
      <c r="BN3" t="s">
        <v>2217</v>
      </c>
      <c r="BO3" t="s">
        <v>2321</v>
      </c>
    </row>
    <row r="4" spans="1:67" ht="14.4" x14ac:dyDescent="0.3">
      <c r="A4" s="1" t="s">
        <v>2489</v>
      </c>
      <c r="C4" s="1" t="s">
        <v>11</v>
      </c>
      <c r="G4" s="1" t="s">
        <v>13</v>
      </c>
      <c r="I4" s="1" t="s">
        <v>18</v>
      </c>
      <c r="J4" s="41">
        <v>1200</v>
      </c>
      <c r="K4" s="1">
        <v>120</v>
      </c>
      <c r="M4" s="1" t="s">
        <v>2442</v>
      </c>
      <c r="O4" s="1" t="s">
        <v>18</v>
      </c>
      <c r="P4" s="1">
        <v>365</v>
      </c>
      <c r="Q4" s="1">
        <v>365</v>
      </c>
      <c r="R4" s="41">
        <v>200</v>
      </c>
      <c r="S4" s="41">
        <v>750</v>
      </c>
      <c r="T4" s="41">
        <v>250</v>
      </c>
      <c r="U4" s="41" t="s">
        <v>2444</v>
      </c>
      <c r="V4" s="41"/>
      <c r="X4" s="1" t="s">
        <v>2426</v>
      </c>
      <c r="Y4" s="1">
        <v>3</v>
      </c>
      <c r="Z4" s="1">
        <v>6</v>
      </c>
      <c r="AD4" s="59">
        <v>0.2</v>
      </c>
      <c r="AJ4" t="s">
        <v>53</v>
      </c>
      <c r="AK4" t="s">
        <v>58</v>
      </c>
      <c r="AL4" t="s">
        <v>63</v>
      </c>
      <c r="AM4" t="s">
        <v>68</v>
      </c>
      <c r="AN4" t="s">
        <v>81</v>
      </c>
      <c r="AO4" t="s">
        <v>204</v>
      </c>
      <c r="AP4" t="s">
        <v>270</v>
      </c>
      <c r="AQ4" t="s">
        <v>204</v>
      </c>
      <c r="AR4" t="s">
        <v>315</v>
      </c>
      <c r="AS4" t="s">
        <v>324</v>
      </c>
      <c r="AT4" t="s">
        <v>361</v>
      </c>
      <c r="AU4" t="s">
        <v>481</v>
      </c>
      <c r="AV4" t="s">
        <v>525</v>
      </c>
      <c r="AW4" t="s">
        <v>605</v>
      </c>
      <c r="AX4" t="s">
        <v>686</v>
      </c>
      <c r="AY4" t="s">
        <v>276</v>
      </c>
      <c r="AZ4" t="s">
        <v>907</v>
      </c>
      <c r="BA4" t="s">
        <v>938</v>
      </c>
      <c r="BB4" t="s">
        <v>955</v>
      </c>
      <c r="BC4" t="s">
        <v>999</v>
      </c>
      <c r="BD4" t="s">
        <v>603</v>
      </c>
      <c r="BE4" t="s">
        <v>1769</v>
      </c>
      <c r="BF4" t="s">
        <v>1814</v>
      </c>
      <c r="BG4" t="s">
        <v>510</v>
      </c>
      <c r="BH4" t="s">
        <v>1846</v>
      </c>
      <c r="BI4" t="s">
        <v>1863</v>
      </c>
      <c r="BJ4" t="s">
        <v>1926</v>
      </c>
      <c r="BK4" t="s">
        <v>1940</v>
      </c>
      <c r="BL4" t="s">
        <v>1971</v>
      </c>
      <c r="BM4" t="s">
        <v>2024</v>
      </c>
      <c r="BN4" t="s">
        <v>2218</v>
      </c>
      <c r="BO4" t="s">
        <v>2322</v>
      </c>
    </row>
    <row r="5" spans="1:67" ht="14.4" x14ac:dyDescent="0.3">
      <c r="I5" s="1" t="s">
        <v>19</v>
      </c>
      <c r="J5" s="41">
        <v>1800</v>
      </c>
      <c r="K5" s="1">
        <v>180</v>
      </c>
      <c r="O5" s="1" t="s">
        <v>19</v>
      </c>
      <c r="P5" s="1">
        <v>365</v>
      </c>
      <c r="Q5" s="1">
        <v>365</v>
      </c>
      <c r="R5" s="41">
        <v>200</v>
      </c>
      <c r="S5" s="41">
        <v>1320</v>
      </c>
      <c r="T5" s="41">
        <v>220</v>
      </c>
      <c r="U5" s="41" t="s">
        <v>2444</v>
      </c>
      <c r="V5" s="41"/>
      <c r="X5" s="1" t="s">
        <v>2427</v>
      </c>
      <c r="Y5" s="1">
        <v>4</v>
      </c>
      <c r="Z5" s="1">
        <v>5</v>
      </c>
      <c r="AD5" s="59">
        <v>0.3</v>
      </c>
      <c r="AJ5" t="s">
        <v>52</v>
      </c>
      <c r="AK5" t="s">
        <v>59</v>
      </c>
      <c r="AL5" t="s">
        <v>64</v>
      </c>
      <c r="AM5" t="s">
        <v>69</v>
      </c>
      <c r="AN5" t="s">
        <v>82</v>
      </c>
      <c r="AO5" t="s">
        <v>205</v>
      </c>
      <c r="AP5" t="s">
        <v>271</v>
      </c>
      <c r="AQ5" t="s">
        <v>284</v>
      </c>
      <c r="AR5" t="s">
        <v>316</v>
      </c>
      <c r="AS5" t="s">
        <v>325</v>
      </c>
      <c r="AT5" t="s">
        <v>362</v>
      </c>
      <c r="AU5" t="s">
        <v>482</v>
      </c>
      <c r="AV5" t="s">
        <v>526</v>
      </c>
      <c r="AW5" t="s">
        <v>606</v>
      </c>
      <c r="AX5" t="s">
        <v>687</v>
      </c>
      <c r="AY5" t="s">
        <v>804</v>
      </c>
      <c r="AZ5" t="s">
        <v>908</v>
      </c>
      <c r="BA5" t="s">
        <v>939</v>
      </c>
      <c r="BB5" t="s">
        <v>204</v>
      </c>
      <c r="BC5" t="s">
        <v>1000</v>
      </c>
      <c r="BD5" t="s">
        <v>1565</v>
      </c>
      <c r="BE5" t="s">
        <v>1770</v>
      </c>
      <c r="BF5" t="s">
        <v>1813</v>
      </c>
      <c r="BG5" t="s">
        <v>1819</v>
      </c>
      <c r="BH5" t="s">
        <v>1847</v>
      </c>
      <c r="BI5" t="s">
        <v>1864</v>
      </c>
      <c r="BJ5" t="s">
        <v>1927</v>
      </c>
      <c r="BK5" t="s">
        <v>1941</v>
      </c>
      <c r="BL5" t="s">
        <v>1972</v>
      </c>
      <c r="BM5" t="s">
        <v>605</v>
      </c>
      <c r="BN5" t="s">
        <v>2219</v>
      </c>
      <c r="BO5" t="s">
        <v>280</v>
      </c>
    </row>
    <row r="6" spans="1:67" ht="14.4" x14ac:dyDescent="0.3">
      <c r="I6" s="1" t="s">
        <v>20</v>
      </c>
      <c r="J6" s="41">
        <v>3000</v>
      </c>
      <c r="K6" s="1">
        <v>360</v>
      </c>
      <c r="X6" s="1" t="s">
        <v>2428</v>
      </c>
      <c r="Y6" s="1">
        <v>5</v>
      </c>
      <c r="Z6" s="1">
        <v>4</v>
      </c>
      <c r="AD6" s="59">
        <v>0.4</v>
      </c>
      <c r="AJ6" t="s">
        <v>51</v>
      </c>
      <c r="AK6" t="s">
        <v>60</v>
      </c>
      <c r="AL6" t="s">
        <v>65</v>
      </c>
      <c r="AM6" t="s">
        <v>70</v>
      </c>
      <c r="AN6" t="s">
        <v>83</v>
      </c>
      <c r="AO6" t="s">
        <v>206</v>
      </c>
      <c r="AP6" t="s">
        <v>272</v>
      </c>
      <c r="AQ6" t="s">
        <v>285</v>
      </c>
      <c r="AR6" t="s">
        <v>218</v>
      </c>
      <c r="AS6" t="s">
        <v>326</v>
      </c>
      <c r="AT6" t="s">
        <v>363</v>
      </c>
      <c r="AU6" t="s">
        <v>483</v>
      </c>
      <c r="AV6" t="s">
        <v>527</v>
      </c>
      <c r="AW6" t="s">
        <v>607</v>
      </c>
      <c r="AX6" t="s">
        <v>688</v>
      </c>
      <c r="AY6" t="s">
        <v>805</v>
      </c>
      <c r="AZ6" t="s">
        <v>909</v>
      </c>
      <c r="BA6" t="s">
        <v>940</v>
      </c>
      <c r="BB6" t="s">
        <v>956</v>
      </c>
      <c r="BC6" t="s">
        <v>1001</v>
      </c>
      <c r="BD6" t="s">
        <v>1566</v>
      </c>
      <c r="BE6" t="s">
        <v>1771</v>
      </c>
      <c r="BF6" t="s">
        <v>280</v>
      </c>
      <c r="BG6" t="s">
        <v>1820</v>
      </c>
      <c r="BH6" t="s">
        <v>1848</v>
      </c>
      <c r="BI6" t="s">
        <v>1865</v>
      </c>
      <c r="BJ6" t="s">
        <v>1928</v>
      </c>
      <c r="BK6" t="s">
        <v>1942</v>
      </c>
      <c r="BL6" t="s">
        <v>1973</v>
      </c>
      <c r="BM6" t="s">
        <v>2025</v>
      </c>
      <c r="BN6" t="s">
        <v>2220</v>
      </c>
      <c r="BO6" t="s">
        <v>2323</v>
      </c>
    </row>
    <row r="7" spans="1:67" ht="14.4" x14ac:dyDescent="0.3">
      <c r="X7" s="1" t="s">
        <v>2429</v>
      </c>
      <c r="Y7" s="1">
        <v>6</v>
      </c>
      <c r="Z7" s="1">
        <v>3</v>
      </c>
      <c r="AD7" s="59"/>
      <c r="AJ7" t="s">
        <v>50</v>
      </c>
      <c r="AM7" t="s">
        <v>71</v>
      </c>
      <c r="AN7" t="s">
        <v>84</v>
      </c>
      <c r="AO7" t="s">
        <v>207</v>
      </c>
      <c r="AP7" t="s">
        <v>273</v>
      </c>
      <c r="AQ7" t="s">
        <v>286</v>
      </c>
      <c r="AR7" t="s">
        <v>317</v>
      </c>
      <c r="AS7" t="s">
        <v>327</v>
      </c>
      <c r="AT7" t="s">
        <v>364</v>
      </c>
      <c r="AU7" t="s">
        <v>484</v>
      </c>
      <c r="AV7" t="s">
        <v>528</v>
      </c>
      <c r="AW7" t="s">
        <v>608</v>
      </c>
      <c r="AX7" t="s">
        <v>689</v>
      </c>
      <c r="AY7" t="s">
        <v>806</v>
      </c>
      <c r="AZ7" t="s">
        <v>709</v>
      </c>
      <c r="BA7" t="s">
        <v>941</v>
      </c>
      <c r="BB7" t="s">
        <v>957</v>
      </c>
      <c r="BC7" t="s">
        <v>1002</v>
      </c>
      <c r="BD7" t="s">
        <v>937</v>
      </c>
      <c r="BE7" t="s">
        <v>1772</v>
      </c>
      <c r="BF7" t="s">
        <v>1812</v>
      </c>
      <c r="BG7" t="s">
        <v>1821</v>
      </c>
      <c r="BH7" t="s">
        <v>1849</v>
      </c>
      <c r="BI7" t="s">
        <v>1866</v>
      </c>
      <c r="BJ7" t="s">
        <v>1929</v>
      </c>
      <c r="BK7" t="s">
        <v>959</v>
      </c>
      <c r="BL7" t="s">
        <v>1974</v>
      </c>
      <c r="BM7" t="s">
        <v>2026</v>
      </c>
      <c r="BN7" t="s">
        <v>2221</v>
      </c>
      <c r="BO7" t="s">
        <v>2324</v>
      </c>
    </row>
    <row r="8" spans="1:67" ht="14.4" x14ac:dyDescent="0.3">
      <c r="X8" s="1" t="s">
        <v>2430</v>
      </c>
      <c r="Y8" s="1">
        <v>7</v>
      </c>
      <c r="Z8" s="1">
        <v>2</v>
      </c>
      <c r="AD8" s="59"/>
      <c r="AJ8" t="s">
        <v>49</v>
      </c>
      <c r="AM8" t="s">
        <v>72</v>
      </c>
      <c r="AN8" t="s">
        <v>85</v>
      </c>
      <c r="AO8" t="s">
        <v>208</v>
      </c>
      <c r="AP8" t="s">
        <v>274</v>
      </c>
      <c r="AQ8" t="s">
        <v>287</v>
      </c>
      <c r="AR8" t="s">
        <v>318</v>
      </c>
      <c r="AS8" t="s">
        <v>328</v>
      </c>
      <c r="AT8" t="s">
        <v>365</v>
      </c>
      <c r="AU8" t="s">
        <v>485</v>
      </c>
      <c r="AV8" t="s">
        <v>529</v>
      </c>
      <c r="AW8" t="s">
        <v>609</v>
      </c>
      <c r="AX8" t="s">
        <v>690</v>
      </c>
      <c r="AY8" t="s">
        <v>807</v>
      </c>
      <c r="AZ8" t="s">
        <v>910</v>
      </c>
      <c r="BA8" t="s">
        <v>942</v>
      </c>
      <c r="BB8" t="s">
        <v>958</v>
      </c>
      <c r="BC8" t="s">
        <v>1003</v>
      </c>
      <c r="BD8" t="s">
        <v>1567</v>
      </c>
      <c r="BE8" t="s">
        <v>1773</v>
      </c>
      <c r="BF8" t="s">
        <v>848</v>
      </c>
      <c r="BG8" t="s">
        <v>1822</v>
      </c>
      <c r="BH8" t="s">
        <v>1850</v>
      </c>
      <c r="BI8" t="s">
        <v>1867</v>
      </c>
      <c r="BJ8" t="s">
        <v>200</v>
      </c>
      <c r="BK8" t="s">
        <v>212</v>
      </c>
      <c r="BL8" t="s">
        <v>1975</v>
      </c>
      <c r="BM8" t="s">
        <v>2027</v>
      </c>
      <c r="BN8" t="s">
        <v>2222</v>
      </c>
      <c r="BO8" t="s">
        <v>2325</v>
      </c>
    </row>
    <row r="9" spans="1:67" ht="14.4" x14ac:dyDescent="0.3">
      <c r="AD9" s="59"/>
      <c r="AJ9" t="s">
        <v>48</v>
      </c>
      <c r="AM9" t="s">
        <v>73</v>
      </c>
      <c r="AN9" t="s">
        <v>86</v>
      </c>
      <c r="AO9" t="s">
        <v>209</v>
      </c>
      <c r="AP9" t="s">
        <v>275</v>
      </c>
      <c r="AQ9" t="s">
        <v>288</v>
      </c>
      <c r="AR9" t="s">
        <v>319</v>
      </c>
      <c r="AS9" t="s">
        <v>329</v>
      </c>
      <c r="AT9" t="s">
        <v>366</v>
      </c>
      <c r="AU9" t="s">
        <v>486</v>
      </c>
      <c r="AV9" t="s">
        <v>530</v>
      </c>
      <c r="AW9" t="s">
        <v>610</v>
      </c>
      <c r="AX9" t="s">
        <v>691</v>
      </c>
      <c r="AY9" t="s">
        <v>808</v>
      </c>
      <c r="AZ9" t="s">
        <v>200</v>
      </c>
      <c r="BA9" t="s">
        <v>943</v>
      </c>
      <c r="BB9" t="s">
        <v>959</v>
      </c>
      <c r="BC9" t="s">
        <v>1004</v>
      </c>
      <c r="BD9" t="s">
        <v>1568</v>
      </c>
      <c r="BE9" t="s">
        <v>1774</v>
      </c>
      <c r="BF9" t="s">
        <v>1811</v>
      </c>
      <c r="BG9" t="s">
        <v>1823</v>
      </c>
      <c r="BH9" t="s">
        <v>1851</v>
      </c>
      <c r="BI9" t="s">
        <v>1868</v>
      </c>
      <c r="BJ9" t="s">
        <v>1930</v>
      </c>
      <c r="BK9" t="s">
        <v>1943</v>
      </c>
      <c r="BL9" t="s">
        <v>1976</v>
      </c>
      <c r="BM9" t="s">
        <v>2028</v>
      </c>
      <c r="BN9" t="s">
        <v>2223</v>
      </c>
      <c r="BO9" t="s">
        <v>218</v>
      </c>
    </row>
    <row r="10" spans="1:67" ht="14.4" x14ac:dyDescent="0.3">
      <c r="T10" s="44"/>
      <c r="AD10" s="59"/>
      <c r="AJ10" t="s">
        <v>47</v>
      </c>
      <c r="AM10" t="s">
        <v>74</v>
      </c>
      <c r="AN10" t="s">
        <v>87</v>
      </c>
      <c r="AO10" t="s">
        <v>210</v>
      </c>
      <c r="AP10" t="s">
        <v>276</v>
      </c>
      <c r="AQ10" t="s">
        <v>289</v>
      </c>
      <c r="AR10" t="s">
        <v>320</v>
      </c>
      <c r="AS10" t="s">
        <v>330</v>
      </c>
      <c r="AT10" t="s">
        <v>367</v>
      </c>
      <c r="AU10" t="s">
        <v>487</v>
      </c>
      <c r="AV10" t="s">
        <v>531</v>
      </c>
      <c r="AW10" t="s">
        <v>611</v>
      </c>
      <c r="AX10" t="s">
        <v>611</v>
      </c>
      <c r="AY10" t="s">
        <v>809</v>
      </c>
      <c r="AZ10" t="s">
        <v>911</v>
      </c>
      <c r="BA10" t="s">
        <v>944</v>
      </c>
      <c r="BB10" t="s">
        <v>960</v>
      </c>
      <c r="BC10" t="s">
        <v>1005</v>
      </c>
      <c r="BD10" t="s">
        <v>1569</v>
      </c>
      <c r="BE10" t="s">
        <v>1775</v>
      </c>
      <c r="BF10" t="s">
        <v>1810</v>
      </c>
      <c r="BG10" t="s">
        <v>1824</v>
      </c>
      <c r="BH10" t="s">
        <v>1852</v>
      </c>
      <c r="BI10" t="s">
        <v>1869</v>
      </c>
      <c r="BJ10" t="s">
        <v>1931</v>
      </c>
      <c r="BK10" t="s">
        <v>1944</v>
      </c>
      <c r="BL10" t="s">
        <v>1977</v>
      </c>
      <c r="BM10" t="s">
        <v>2029</v>
      </c>
      <c r="BN10" t="s">
        <v>2224</v>
      </c>
      <c r="BO10" t="s">
        <v>2326</v>
      </c>
    </row>
    <row r="11" spans="1:67" ht="14.4" x14ac:dyDescent="0.3">
      <c r="AJ11" t="s">
        <v>46</v>
      </c>
      <c r="AM11" t="s">
        <v>75</v>
      </c>
      <c r="AN11" t="s">
        <v>88</v>
      </c>
      <c r="AO11" t="s">
        <v>211</v>
      </c>
      <c r="AP11" t="s">
        <v>277</v>
      </c>
      <c r="AQ11" t="s">
        <v>290</v>
      </c>
      <c r="AR11" t="s">
        <v>321</v>
      </c>
      <c r="AS11" t="s">
        <v>292</v>
      </c>
      <c r="AT11" t="s">
        <v>368</v>
      </c>
      <c r="AU11" t="s">
        <v>488</v>
      </c>
      <c r="AV11" t="s">
        <v>532</v>
      </c>
      <c r="AW11" t="s">
        <v>612</v>
      </c>
      <c r="AX11" t="s">
        <v>692</v>
      </c>
      <c r="AY11" t="s">
        <v>284</v>
      </c>
      <c r="AZ11" t="s">
        <v>912</v>
      </c>
      <c r="BA11" t="s">
        <v>945</v>
      </c>
      <c r="BB11" t="s">
        <v>961</v>
      </c>
      <c r="BC11" t="s">
        <v>1006</v>
      </c>
      <c r="BD11" t="s">
        <v>1570</v>
      </c>
      <c r="BE11" t="s">
        <v>1776</v>
      </c>
      <c r="BF11" t="s">
        <v>1809</v>
      </c>
      <c r="BG11" t="s">
        <v>1825</v>
      </c>
      <c r="BH11" t="s">
        <v>1853</v>
      </c>
      <c r="BI11" t="s">
        <v>1870</v>
      </c>
      <c r="BJ11" t="s">
        <v>1932</v>
      </c>
      <c r="BK11" t="s">
        <v>1945</v>
      </c>
      <c r="BL11" t="s">
        <v>1978</v>
      </c>
      <c r="BM11" t="s">
        <v>2030</v>
      </c>
      <c r="BN11" t="s">
        <v>2225</v>
      </c>
      <c r="BO11" t="s">
        <v>2327</v>
      </c>
    </row>
    <row r="12" spans="1:67" ht="14.4" x14ac:dyDescent="0.3">
      <c r="AJ12" t="s">
        <v>45</v>
      </c>
      <c r="AM12" t="s">
        <v>76</v>
      </c>
      <c r="AN12" t="s">
        <v>89</v>
      </c>
      <c r="AO12" t="s">
        <v>212</v>
      </c>
      <c r="AP12" t="s">
        <v>278</v>
      </c>
      <c r="AQ12" t="s">
        <v>291</v>
      </c>
      <c r="AS12" t="s">
        <v>331</v>
      </c>
      <c r="AT12" t="s">
        <v>369</v>
      </c>
      <c r="AU12" t="s">
        <v>489</v>
      </c>
      <c r="AV12" t="s">
        <v>533</v>
      </c>
      <c r="AW12" t="s">
        <v>613</v>
      </c>
      <c r="AX12" t="s">
        <v>693</v>
      </c>
      <c r="AY12" t="s">
        <v>810</v>
      </c>
      <c r="AZ12" t="s">
        <v>913</v>
      </c>
      <c r="BA12" t="s">
        <v>946</v>
      </c>
      <c r="BB12" t="s">
        <v>962</v>
      </c>
      <c r="BC12" t="s">
        <v>1007</v>
      </c>
      <c r="BD12" t="s">
        <v>1571</v>
      </c>
      <c r="BE12" t="s">
        <v>1777</v>
      </c>
      <c r="BF12" t="s">
        <v>1808</v>
      </c>
      <c r="BG12" t="s">
        <v>1826</v>
      </c>
      <c r="BH12" t="s">
        <v>1854</v>
      </c>
      <c r="BI12" t="s">
        <v>1871</v>
      </c>
      <c r="BJ12" t="s">
        <v>1933</v>
      </c>
      <c r="BK12" t="s">
        <v>226</v>
      </c>
      <c r="BL12" t="s">
        <v>1979</v>
      </c>
      <c r="BM12" t="s">
        <v>2031</v>
      </c>
      <c r="BN12" t="s">
        <v>2226</v>
      </c>
      <c r="BO12" t="s">
        <v>2328</v>
      </c>
    </row>
    <row r="13" spans="1:67" ht="14.4" x14ac:dyDescent="0.3">
      <c r="AM13" t="s">
        <v>77</v>
      </c>
      <c r="AN13" t="s">
        <v>90</v>
      </c>
      <c r="AO13" t="s">
        <v>213</v>
      </c>
      <c r="AP13" t="s">
        <v>279</v>
      </c>
      <c r="AQ13" t="s">
        <v>232</v>
      </c>
      <c r="AS13" t="s">
        <v>332</v>
      </c>
      <c r="AT13" t="s">
        <v>370</v>
      </c>
      <c r="AU13" t="s">
        <v>490</v>
      </c>
      <c r="AV13" t="s">
        <v>534</v>
      </c>
      <c r="AW13" t="s">
        <v>614</v>
      </c>
      <c r="AX13" t="s">
        <v>694</v>
      </c>
      <c r="AY13" t="s">
        <v>811</v>
      </c>
      <c r="AZ13" t="s">
        <v>914</v>
      </c>
      <c r="BA13" t="s">
        <v>947</v>
      </c>
      <c r="BB13" t="s">
        <v>963</v>
      </c>
      <c r="BC13" t="s">
        <v>1008</v>
      </c>
      <c r="BD13" t="s">
        <v>1572</v>
      </c>
      <c r="BE13" t="s">
        <v>1778</v>
      </c>
      <c r="BF13" t="s">
        <v>1807</v>
      </c>
      <c r="BG13" t="s">
        <v>1827</v>
      </c>
      <c r="BH13" t="s">
        <v>1855</v>
      </c>
      <c r="BI13" t="s">
        <v>1872</v>
      </c>
      <c r="BJ13" t="s">
        <v>1934</v>
      </c>
      <c r="BK13" t="s">
        <v>1946</v>
      </c>
      <c r="BL13" t="s">
        <v>1980</v>
      </c>
      <c r="BM13" t="s">
        <v>2032</v>
      </c>
      <c r="BN13" t="s">
        <v>2227</v>
      </c>
      <c r="BO13" t="s">
        <v>2329</v>
      </c>
    </row>
    <row r="14" spans="1:67" ht="14.4" x14ac:dyDescent="0.3">
      <c r="AM14" t="s">
        <v>78</v>
      </c>
      <c r="AN14" t="s">
        <v>91</v>
      </c>
      <c r="AO14" t="s">
        <v>214</v>
      </c>
      <c r="AP14" t="s">
        <v>280</v>
      </c>
      <c r="AQ14" t="s">
        <v>292</v>
      </c>
      <c r="AS14" t="s">
        <v>333</v>
      </c>
      <c r="AT14" t="s">
        <v>371</v>
      </c>
      <c r="AU14" t="s">
        <v>491</v>
      </c>
      <c r="AV14" t="s">
        <v>535</v>
      </c>
      <c r="AW14" t="s">
        <v>615</v>
      </c>
      <c r="AX14" t="s">
        <v>695</v>
      </c>
      <c r="AY14" t="s">
        <v>812</v>
      </c>
      <c r="AZ14" t="s">
        <v>915</v>
      </c>
      <c r="BA14" t="s">
        <v>948</v>
      </c>
      <c r="BB14" t="s">
        <v>964</v>
      </c>
      <c r="BC14" t="s">
        <v>1009</v>
      </c>
      <c r="BD14" t="s">
        <v>1573</v>
      </c>
      <c r="BE14" t="s">
        <v>1779</v>
      </c>
      <c r="BF14" t="s">
        <v>1806</v>
      </c>
      <c r="BG14" t="s">
        <v>1828</v>
      </c>
      <c r="BH14" t="s">
        <v>1856</v>
      </c>
      <c r="BI14" t="s">
        <v>1873</v>
      </c>
      <c r="BJ14" t="s">
        <v>1935</v>
      </c>
      <c r="BK14" t="s">
        <v>1947</v>
      </c>
      <c r="BL14" t="s">
        <v>1981</v>
      </c>
      <c r="BM14" t="s">
        <v>2033</v>
      </c>
      <c r="BN14" t="s">
        <v>2228</v>
      </c>
      <c r="BO14" t="s">
        <v>2330</v>
      </c>
    </row>
    <row r="15" spans="1:67" ht="14.4" x14ac:dyDescent="0.3">
      <c r="AN15" t="s">
        <v>92</v>
      </c>
      <c r="AO15" t="s">
        <v>215</v>
      </c>
      <c r="AP15" t="s">
        <v>218</v>
      </c>
      <c r="AQ15" t="s">
        <v>237</v>
      </c>
      <c r="AS15" t="s">
        <v>334</v>
      </c>
      <c r="AT15" t="s">
        <v>372</v>
      </c>
      <c r="AU15" t="s">
        <v>492</v>
      </c>
      <c r="AV15" t="s">
        <v>280</v>
      </c>
      <c r="AW15" t="s">
        <v>616</v>
      </c>
      <c r="AX15" t="s">
        <v>696</v>
      </c>
      <c r="AY15" t="s">
        <v>813</v>
      </c>
      <c r="AZ15" t="s">
        <v>916</v>
      </c>
      <c r="BA15" t="s">
        <v>736</v>
      </c>
      <c r="BB15" t="s">
        <v>965</v>
      </c>
      <c r="BC15" t="s">
        <v>1010</v>
      </c>
      <c r="BD15" t="s">
        <v>1574</v>
      </c>
      <c r="BE15" t="s">
        <v>1780</v>
      </c>
      <c r="BF15" t="s">
        <v>1805</v>
      </c>
      <c r="BG15" t="s">
        <v>1829</v>
      </c>
      <c r="BH15" t="s">
        <v>256</v>
      </c>
      <c r="BI15" t="s">
        <v>1874</v>
      </c>
      <c r="BJ15" t="s">
        <v>1936</v>
      </c>
      <c r="BK15" t="s">
        <v>232</v>
      </c>
      <c r="BL15" t="s">
        <v>1982</v>
      </c>
      <c r="BM15" t="s">
        <v>2034</v>
      </c>
      <c r="BN15" t="s">
        <v>2229</v>
      </c>
      <c r="BO15" t="s">
        <v>2331</v>
      </c>
    </row>
    <row r="16" spans="1:67" ht="14.4" x14ac:dyDescent="0.3">
      <c r="AN16" t="s">
        <v>93</v>
      </c>
      <c r="AO16" t="s">
        <v>216</v>
      </c>
      <c r="AP16" t="s">
        <v>281</v>
      </c>
      <c r="AQ16" t="s">
        <v>126</v>
      </c>
      <c r="AS16" t="s">
        <v>335</v>
      </c>
      <c r="AT16" t="s">
        <v>373</v>
      </c>
      <c r="AU16" t="s">
        <v>493</v>
      </c>
      <c r="AV16" t="s">
        <v>536</v>
      </c>
      <c r="AW16" t="s">
        <v>617</v>
      </c>
      <c r="AX16" t="s">
        <v>697</v>
      </c>
      <c r="AY16" t="s">
        <v>814</v>
      </c>
      <c r="AZ16" t="s">
        <v>917</v>
      </c>
      <c r="BA16" t="s">
        <v>949</v>
      </c>
      <c r="BB16" t="s">
        <v>966</v>
      </c>
      <c r="BC16" t="s">
        <v>1011</v>
      </c>
      <c r="BD16" t="s">
        <v>1575</v>
      </c>
      <c r="BE16" t="s">
        <v>1781</v>
      </c>
      <c r="BF16" t="s">
        <v>1804</v>
      </c>
      <c r="BG16" t="s">
        <v>1830</v>
      </c>
      <c r="BH16" t="s">
        <v>1857</v>
      </c>
      <c r="BI16" t="s">
        <v>1875</v>
      </c>
      <c r="BJ16" t="s">
        <v>1937</v>
      </c>
      <c r="BK16" t="s">
        <v>1948</v>
      </c>
      <c r="BL16" t="s">
        <v>1983</v>
      </c>
      <c r="BM16" t="s">
        <v>2035</v>
      </c>
      <c r="BN16" t="s">
        <v>2230</v>
      </c>
      <c r="BO16" t="s">
        <v>2332</v>
      </c>
    </row>
    <row r="17" spans="40:67" ht="14.4" x14ac:dyDescent="0.3">
      <c r="AN17" t="s">
        <v>94</v>
      </c>
      <c r="AO17" t="s">
        <v>217</v>
      </c>
      <c r="AP17" t="s">
        <v>183</v>
      </c>
      <c r="AQ17" t="s">
        <v>293</v>
      </c>
      <c r="AS17" t="s">
        <v>336</v>
      </c>
      <c r="AT17" t="s">
        <v>374</v>
      </c>
      <c r="AU17" t="s">
        <v>494</v>
      </c>
      <c r="AV17" t="s">
        <v>537</v>
      </c>
      <c r="AW17" t="s">
        <v>618</v>
      </c>
      <c r="AX17" t="s">
        <v>698</v>
      </c>
      <c r="AY17" t="s">
        <v>815</v>
      </c>
      <c r="AZ17" t="s">
        <v>918</v>
      </c>
      <c r="BA17" t="s">
        <v>950</v>
      </c>
      <c r="BB17" t="s">
        <v>967</v>
      </c>
      <c r="BC17" t="s">
        <v>1012</v>
      </c>
      <c r="BD17" t="s">
        <v>1576</v>
      </c>
      <c r="BE17" t="s">
        <v>347</v>
      </c>
      <c r="BF17" t="s">
        <v>1803</v>
      </c>
      <c r="BG17" t="s">
        <v>1831</v>
      </c>
      <c r="BH17" t="s">
        <v>1858</v>
      </c>
      <c r="BI17" t="s">
        <v>1876</v>
      </c>
      <c r="BJ17" t="s">
        <v>1938</v>
      </c>
      <c r="BK17" t="s">
        <v>292</v>
      </c>
      <c r="BL17" t="s">
        <v>1984</v>
      </c>
      <c r="BM17" t="s">
        <v>2036</v>
      </c>
      <c r="BN17" t="s">
        <v>2231</v>
      </c>
      <c r="BO17" t="s">
        <v>2333</v>
      </c>
    </row>
    <row r="18" spans="40:67" ht="14.4" x14ac:dyDescent="0.3">
      <c r="AN18" t="s">
        <v>95</v>
      </c>
      <c r="AO18" t="s">
        <v>218</v>
      </c>
      <c r="AQ18" t="s">
        <v>244</v>
      </c>
      <c r="AS18" t="s">
        <v>251</v>
      </c>
      <c r="AT18" t="s">
        <v>375</v>
      </c>
      <c r="AU18" t="s">
        <v>495</v>
      </c>
      <c r="AV18" t="s">
        <v>538</v>
      </c>
      <c r="AW18" t="s">
        <v>619</v>
      </c>
      <c r="AX18" t="s">
        <v>699</v>
      </c>
      <c r="AY18" t="s">
        <v>816</v>
      </c>
      <c r="AZ18" t="s">
        <v>919</v>
      </c>
      <c r="BA18" t="s">
        <v>951</v>
      </c>
      <c r="BB18" t="s">
        <v>224</v>
      </c>
      <c r="BC18" t="s">
        <v>1013</v>
      </c>
      <c r="BD18" t="s">
        <v>1577</v>
      </c>
      <c r="BE18" t="s">
        <v>1782</v>
      </c>
      <c r="BF18" t="s">
        <v>1802</v>
      </c>
      <c r="BG18" t="s">
        <v>1832</v>
      </c>
      <c r="BH18" t="s">
        <v>1859</v>
      </c>
      <c r="BI18" t="s">
        <v>1877</v>
      </c>
      <c r="BJ18" t="s">
        <v>1939</v>
      </c>
      <c r="BK18" t="s">
        <v>1949</v>
      </c>
      <c r="BL18" t="s">
        <v>1985</v>
      </c>
      <c r="BM18" t="s">
        <v>2037</v>
      </c>
      <c r="BN18" t="s">
        <v>2232</v>
      </c>
      <c r="BO18" t="s">
        <v>229</v>
      </c>
    </row>
    <row r="19" spans="40:67" ht="14.4" x14ac:dyDescent="0.3">
      <c r="AN19" t="s">
        <v>96</v>
      </c>
      <c r="AO19" t="s">
        <v>219</v>
      </c>
      <c r="AQ19" t="s">
        <v>294</v>
      </c>
      <c r="AS19" t="s">
        <v>337</v>
      </c>
      <c r="AT19" t="s">
        <v>376</v>
      </c>
      <c r="AU19" t="s">
        <v>496</v>
      </c>
      <c r="AV19" t="s">
        <v>539</v>
      </c>
      <c r="AW19" t="s">
        <v>620</v>
      </c>
      <c r="AX19" t="s">
        <v>700</v>
      </c>
      <c r="AY19" t="s">
        <v>817</v>
      </c>
      <c r="AZ19" t="s">
        <v>920</v>
      </c>
      <c r="BA19" t="s">
        <v>785</v>
      </c>
      <c r="BB19" t="s">
        <v>968</v>
      </c>
      <c r="BC19" t="s">
        <v>1014</v>
      </c>
      <c r="BD19" t="s">
        <v>1578</v>
      </c>
      <c r="BE19" t="s">
        <v>777</v>
      </c>
      <c r="BF19" t="s">
        <v>1801</v>
      </c>
      <c r="BG19" t="s">
        <v>1833</v>
      </c>
      <c r="BH19" t="s">
        <v>1860</v>
      </c>
      <c r="BI19" t="s">
        <v>1878</v>
      </c>
      <c r="BK19" t="s">
        <v>237</v>
      </c>
      <c r="BL19" t="s">
        <v>1986</v>
      </c>
      <c r="BM19" t="s">
        <v>808</v>
      </c>
      <c r="BN19" t="s">
        <v>2233</v>
      </c>
      <c r="BO19" t="s">
        <v>2334</v>
      </c>
    </row>
    <row r="20" spans="40:67" ht="14.4" x14ac:dyDescent="0.3">
      <c r="AN20" t="s">
        <v>97</v>
      </c>
      <c r="AO20" t="s">
        <v>220</v>
      </c>
      <c r="AQ20" t="s">
        <v>246</v>
      </c>
      <c r="AS20" t="s">
        <v>338</v>
      </c>
      <c r="AT20" t="s">
        <v>377</v>
      </c>
      <c r="AU20" t="s">
        <v>497</v>
      </c>
      <c r="AV20" t="s">
        <v>540</v>
      </c>
      <c r="AW20" t="s">
        <v>621</v>
      </c>
      <c r="AX20" t="s">
        <v>701</v>
      </c>
      <c r="AY20" t="s">
        <v>818</v>
      </c>
      <c r="AZ20" t="s">
        <v>921</v>
      </c>
      <c r="BA20" t="s">
        <v>952</v>
      </c>
      <c r="BB20" t="s">
        <v>969</v>
      </c>
      <c r="BC20" t="s">
        <v>1015</v>
      </c>
      <c r="BD20" t="s">
        <v>1579</v>
      </c>
      <c r="BF20" t="s">
        <v>1800</v>
      </c>
      <c r="BG20" t="s">
        <v>1834</v>
      </c>
      <c r="BI20" t="s">
        <v>1879</v>
      </c>
      <c r="BK20" t="s">
        <v>1950</v>
      </c>
      <c r="BL20" t="s">
        <v>1987</v>
      </c>
      <c r="BM20" t="s">
        <v>2038</v>
      </c>
      <c r="BN20" t="s">
        <v>2234</v>
      </c>
      <c r="BO20" t="s">
        <v>2335</v>
      </c>
    </row>
    <row r="21" spans="40:67" ht="14.4" x14ac:dyDescent="0.3">
      <c r="AN21" t="s">
        <v>98</v>
      </c>
      <c r="AO21" t="s">
        <v>221</v>
      </c>
      <c r="AQ21" t="s">
        <v>295</v>
      </c>
      <c r="AS21" t="s">
        <v>339</v>
      </c>
      <c r="AT21" t="s">
        <v>378</v>
      </c>
      <c r="AU21" t="s">
        <v>498</v>
      </c>
      <c r="AV21" t="s">
        <v>541</v>
      </c>
      <c r="AW21" t="s">
        <v>622</v>
      </c>
      <c r="AX21" t="s">
        <v>702</v>
      </c>
      <c r="AY21" t="s">
        <v>819</v>
      </c>
      <c r="AZ21" t="s">
        <v>922</v>
      </c>
      <c r="BA21" t="s">
        <v>953</v>
      </c>
      <c r="BB21" t="s">
        <v>970</v>
      </c>
      <c r="BC21" t="s">
        <v>1016</v>
      </c>
      <c r="BD21" t="s">
        <v>1580</v>
      </c>
      <c r="BF21" t="s">
        <v>1799</v>
      </c>
      <c r="BG21" t="s">
        <v>1835</v>
      </c>
      <c r="BI21" t="s">
        <v>1880</v>
      </c>
      <c r="BK21" t="s">
        <v>1951</v>
      </c>
      <c r="BL21" t="s">
        <v>1988</v>
      </c>
      <c r="BM21" t="s">
        <v>2039</v>
      </c>
      <c r="BN21" t="s">
        <v>2235</v>
      </c>
      <c r="BO21" t="s">
        <v>2336</v>
      </c>
    </row>
    <row r="22" spans="40:67" ht="14.4" x14ac:dyDescent="0.3">
      <c r="AN22" t="s">
        <v>99</v>
      </c>
      <c r="AO22" t="s">
        <v>222</v>
      </c>
      <c r="AQ22" t="s">
        <v>296</v>
      </c>
      <c r="AS22" t="s">
        <v>340</v>
      </c>
      <c r="AT22" t="s">
        <v>379</v>
      </c>
      <c r="AU22" t="s">
        <v>499</v>
      </c>
      <c r="AV22" t="s">
        <v>542</v>
      </c>
      <c r="AW22" t="s">
        <v>200</v>
      </c>
      <c r="AX22" t="s">
        <v>703</v>
      </c>
      <c r="AY22" t="s">
        <v>820</v>
      </c>
      <c r="AZ22" t="s">
        <v>923</v>
      </c>
      <c r="BB22" t="s">
        <v>971</v>
      </c>
      <c r="BC22" t="s">
        <v>1017</v>
      </c>
      <c r="BD22" t="s">
        <v>1581</v>
      </c>
      <c r="BF22" t="s">
        <v>1798</v>
      </c>
      <c r="BG22" t="s">
        <v>1836</v>
      </c>
      <c r="BI22" t="s">
        <v>1881</v>
      </c>
      <c r="BK22" t="s">
        <v>1952</v>
      </c>
      <c r="BL22" t="s">
        <v>1989</v>
      </c>
      <c r="BM22" t="s">
        <v>696</v>
      </c>
      <c r="BN22" t="s">
        <v>2236</v>
      </c>
      <c r="BO22" t="s">
        <v>2337</v>
      </c>
    </row>
    <row r="23" spans="40:67" ht="14.4" x14ac:dyDescent="0.3">
      <c r="AN23" t="s">
        <v>100</v>
      </c>
      <c r="AO23" t="s">
        <v>223</v>
      </c>
      <c r="AQ23" t="s">
        <v>297</v>
      </c>
      <c r="AS23" t="s">
        <v>341</v>
      </c>
      <c r="AT23" t="s">
        <v>380</v>
      </c>
      <c r="AU23" t="s">
        <v>251</v>
      </c>
      <c r="AV23" t="s">
        <v>543</v>
      </c>
      <c r="AW23" t="s">
        <v>623</v>
      </c>
      <c r="AX23" t="s">
        <v>704</v>
      </c>
      <c r="AY23" t="s">
        <v>821</v>
      </c>
      <c r="AZ23" t="s">
        <v>924</v>
      </c>
      <c r="BB23" t="s">
        <v>972</v>
      </c>
      <c r="BC23" t="s">
        <v>1018</v>
      </c>
      <c r="BD23" t="s">
        <v>1582</v>
      </c>
      <c r="BF23" t="s">
        <v>1797</v>
      </c>
      <c r="BG23" t="s">
        <v>1837</v>
      </c>
      <c r="BI23" t="s">
        <v>1882</v>
      </c>
      <c r="BK23" t="s">
        <v>244</v>
      </c>
      <c r="BL23" t="s">
        <v>1990</v>
      </c>
      <c r="BM23" t="s">
        <v>2040</v>
      </c>
      <c r="BN23" t="s">
        <v>2237</v>
      </c>
      <c r="BO23" t="s">
        <v>2338</v>
      </c>
    </row>
    <row r="24" spans="40:67" ht="14.4" x14ac:dyDescent="0.3">
      <c r="AN24" t="s">
        <v>101</v>
      </c>
      <c r="AO24" t="s">
        <v>224</v>
      </c>
      <c r="AQ24" t="s">
        <v>251</v>
      </c>
      <c r="AS24" t="s">
        <v>342</v>
      </c>
      <c r="AT24" t="s">
        <v>381</v>
      </c>
      <c r="AU24" t="s">
        <v>500</v>
      </c>
      <c r="AV24" t="s">
        <v>544</v>
      </c>
      <c r="AW24" t="s">
        <v>289</v>
      </c>
      <c r="AX24" t="s">
        <v>705</v>
      </c>
      <c r="AY24" t="s">
        <v>822</v>
      </c>
      <c r="AZ24" t="s">
        <v>925</v>
      </c>
      <c r="BB24" t="s">
        <v>973</v>
      </c>
      <c r="BC24" t="s">
        <v>1019</v>
      </c>
      <c r="BD24" t="s">
        <v>1583</v>
      </c>
      <c r="BF24" t="s">
        <v>1796</v>
      </c>
      <c r="BG24" t="s">
        <v>792</v>
      </c>
      <c r="BI24" t="s">
        <v>1883</v>
      </c>
      <c r="BK24" t="s">
        <v>1953</v>
      </c>
      <c r="BL24" t="s">
        <v>1991</v>
      </c>
      <c r="BM24" t="s">
        <v>2041</v>
      </c>
      <c r="BN24" t="s">
        <v>2238</v>
      </c>
      <c r="BO24" t="s">
        <v>2339</v>
      </c>
    </row>
    <row r="25" spans="40:67" ht="14.4" x14ac:dyDescent="0.3">
      <c r="AN25" t="s">
        <v>102</v>
      </c>
      <c r="AO25" t="s">
        <v>225</v>
      </c>
      <c r="AQ25" t="s">
        <v>298</v>
      </c>
      <c r="AS25" t="s">
        <v>343</v>
      </c>
      <c r="AT25" t="s">
        <v>382</v>
      </c>
      <c r="AU25" t="s">
        <v>342</v>
      </c>
      <c r="AV25" t="s">
        <v>545</v>
      </c>
      <c r="AW25" t="s">
        <v>624</v>
      </c>
      <c r="AX25" t="s">
        <v>538</v>
      </c>
      <c r="AY25" t="s">
        <v>823</v>
      </c>
      <c r="AZ25" t="s">
        <v>926</v>
      </c>
      <c r="BB25" t="s">
        <v>974</v>
      </c>
      <c r="BC25" t="s">
        <v>1020</v>
      </c>
      <c r="BD25" t="s">
        <v>1584</v>
      </c>
      <c r="BF25" t="s">
        <v>1795</v>
      </c>
      <c r="BG25" t="s">
        <v>1838</v>
      </c>
      <c r="BI25" t="s">
        <v>1884</v>
      </c>
      <c r="BK25" t="s">
        <v>1954</v>
      </c>
      <c r="BL25" t="s">
        <v>1992</v>
      </c>
      <c r="BM25" t="s">
        <v>2042</v>
      </c>
      <c r="BN25" t="s">
        <v>2239</v>
      </c>
      <c r="BO25" t="s">
        <v>65</v>
      </c>
    </row>
    <row r="26" spans="40:67" ht="14.4" x14ac:dyDescent="0.3">
      <c r="AN26" t="s">
        <v>103</v>
      </c>
      <c r="AO26" t="s">
        <v>226</v>
      </c>
      <c r="AQ26" t="s">
        <v>299</v>
      </c>
      <c r="AS26" t="s">
        <v>344</v>
      </c>
      <c r="AT26" t="s">
        <v>383</v>
      </c>
      <c r="AU26" t="s">
        <v>501</v>
      </c>
      <c r="AV26" t="s">
        <v>546</v>
      </c>
      <c r="AW26" t="s">
        <v>625</v>
      </c>
      <c r="AX26" t="s">
        <v>706</v>
      </c>
      <c r="AY26" t="s">
        <v>824</v>
      </c>
      <c r="AZ26" t="s">
        <v>927</v>
      </c>
      <c r="BB26" t="s">
        <v>975</v>
      </c>
      <c r="BC26" t="s">
        <v>1021</v>
      </c>
      <c r="BD26" t="s">
        <v>1585</v>
      </c>
      <c r="BF26" t="s">
        <v>1794</v>
      </c>
      <c r="BG26" t="s">
        <v>1839</v>
      </c>
      <c r="BI26" t="s">
        <v>1885</v>
      </c>
      <c r="BK26" t="s">
        <v>1955</v>
      </c>
      <c r="BL26" t="s">
        <v>1993</v>
      </c>
      <c r="BM26" t="s">
        <v>2043</v>
      </c>
      <c r="BN26" t="s">
        <v>2240</v>
      </c>
      <c r="BO26" t="s">
        <v>2340</v>
      </c>
    </row>
    <row r="27" spans="40:67" ht="14.4" x14ac:dyDescent="0.3">
      <c r="AN27" t="s">
        <v>104</v>
      </c>
      <c r="AO27" t="s">
        <v>227</v>
      </c>
      <c r="AQ27" t="s">
        <v>300</v>
      </c>
      <c r="AS27" t="s">
        <v>345</v>
      </c>
      <c r="AT27" t="s">
        <v>384</v>
      </c>
      <c r="AU27" t="s">
        <v>502</v>
      </c>
      <c r="AV27" t="s">
        <v>547</v>
      </c>
      <c r="AW27" t="s">
        <v>626</v>
      </c>
      <c r="AX27" t="s">
        <v>707</v>
      </c>
      <c r="AY27" t="s">
        <v>825</v>
      </c>
      <c r="AZ27" t="s">
        <v>928</v>
      </c>
      <c r="BB27" t="s">
        <v>229</v>
      </c>
      <c r="BC27" t="s">
        <v>1022</v>
      </c>
      <c r="BD27" t="s">
        <v>1586</v>
      </c>
      <c r="BF27" t="s">
        <v>1595</v>
      </c>
      <c r="BG27" t="s">
        <v>1840</v>
      </c>
      <c r="BI27" t="s">
        <v>1886</v>
      </c>
      <c r="BK27" t="s">
        <v>1956</v>
      </c>
      <c r="BL27" t="s">
        <v>1994</v>
      </c>
      <c r="BM27" t="s">
        <v>2044</v>
      </c>
      <c r="BN27" t="s">
        <v>2241</v>
      </c>
      <c r="BO27" t="s">
        <v>2341</v>
      </c>
    </row>
    <row r="28" spans="40:67" ht="14.4" x14ac:dyDescent="0.3">
      <c r="AN28" t="s">
        <v>105</v>
      </c>
      <c r="AO28" t="s">
        <v>228</v>
      </c>
      <c r="AQ28" t="s">
        <v>301</v>
      </c>
      <c r="AS28" t="s">
        <v>346</v>
      </c>
      <c r="AT28" t="s">
        <v>385</v>
      </c>
      <c r="AU28" t="s">
        <v>503</v>
      </c>
      <c r="AV28" t="s">
        <v>548</v>
      </c>
      <c r="AW28" t="s">
        <v>627</v>
      </c>
      <c r="AX28" t="s">
        <v>708</v>
      </c>
      <c r="AY28" t="s">
        <v>826</v>
      </c>
      <c r="AZ28" t="s">
        <v>929</v>
      </c>
      <c r="BB28" t="s">
        <v>976</v>
      </c>
      <c r="BC28" t="s">
        <v>1023</v>
      </c>
      <c r="BD28" t="s">
        <v>1587</v>
      </c>
      <c r="BF28" t="s">
        <v>1793</v>
      </c>
      <c r="BG28" t="s">
        <v>312</v>
      </c>
      <c r="BI28" t="s">
        <v>1887</v>
      </c>
      <c r="BK28" t="s">
        <v>1957</v>
      </c>
      <c r="BL28" t="s">
        <v>442</v>
      </c>
      <c r="BM28" t="s">
        <v>280</v>
      </c>
      <c r="BN28" t="s">
        <v>2242</v>
      </c>
      <c r="BO28" t="s">
        <v>411</v>
      </c>
    </row>
    <row r="29" spans="40:67" ht="14.4" x14ac:dyDescent="0.3">
      <c r="AN29" t="s">
        <v>106</v>
      </c>
      <c r="AO29" t="s">
        <v>229</v>
      </c>
      <c r="AQ29" t="s">
        <v>302</v>
      </c>
      <c r="AS29" t="s">
        <v>347</v>
      </c>
      <c r="AT29" t="s">
        <v>386</v>
      </c>
      <c r="AU29" t="s">
        <v>504</v>
      </c>
      <c r="AV29" t="s">
        <v>549</v>
      </c>
      <c r="AW29" t="s">
        <v>628</v>
      </c>
      <c r="AX29" t="s">
        <v>709</v>
      </c>
      <c r="AY29" t="s">
        <v>827</v>
      </c>
      <c r="AZ29" t="s">
        <v>930</v>
      </c>
      <c r="BB29" t="s">
        <v>977</v>
      </c>
      <c r="BC29" t="s">
        <v>1024</v>
      </c>
      <c r="BD29" t="s">
        <v>1588</v>
      </c>
      <c r="BF29" t="s">
        <v>1792</v>
      </c>
      <c r="BG29" t="s">
        <v>1841</v>
      </c>
      <c r="BI29" t="s">
        <v>1888</v>
      </c>
      <c r="BK29" t="s">
        <v>1958</v>
      </c>
      <c r="BL29" t="s">
        <v>1995</v>
      </c>
      <c r="BM29" t="s">
        <v>2045</v>
      </c>
      <c r="BN29" t="s">
        <v>2243</v>
      </c>
      <c r="BO29" t="s">
        <v>2342</v>
      </c>
    </row>
    <row r="30" spans="40:67" ht="14.4" x14ac:dyDescent="0.3">
      <c r="AN30" t="s">
        <v>107</v>
      </c>
      <c r="AO30" t="s">
        <v>230</v>
      </c>
      <c r="AQ30" t="s">
        <v>303</v>
      </c>
      <c r="AS30" t="s">
        <v>348</v>
      </c>
      <c r="AT30" t="s">
        <v>387</v>
      </c>
      <c r="AU30" t="s">
        <v>505</v>
      </c>
      <c r="AV30" t="s">
        <v>550</v>
      </c>
      <c r="AW30" t="s">
        <v>629</v>
      </c>
      <c r="AX30" t="s">
        <v>710</v>
      </c>
      <c r="AY30" t="s">
        <v>828</v>
      </c>
      <c r="AZ30" t="s">
        <v>931</v>
      </c>
      <c r="BB30" t="s">
        <v>978</v>
      </c>
      <c r="BC30" t="s">
        <v>1025</v>
      </c>
      <c r="BD30" t="s">
        <v>1589</v>
      </c>
      <c r="BF30" t="s">
        <v>1791</v>
      </c>
      <c r="BG30" t="s">
        <v>1842</v>
      </c>
      <c r="BI30" t="s">
        <v>1889</v>
      </c>
      <c r="BK30" t="s">
        <v>251</v>
      </c>
      <c r="BL30" t="s">
        <v>1996</v>
      </c>
      <c r="BM30" t="s">
        <v>2046</v>
      </c>
      <c r="BN30" t="s">
        <v>2244</v>
      </c>
      <c r="BO30" t="s">
        <v>2343</v>
      </c>
    </row>
    <row r="31" spans="40:67" ht="14.4" x14ac:dyDescent="0.3">
      <c r="AN31" t="s">
        <v>108</v>
      </c>
      <c r="AO31" t="s">
        <v>231</v>
      </c>
      <c r="AQ31" t="s">
        <v>304</v>
      </c>
      <c r="AS31" t="s">
        <v>349</v>
      </c>
      <c r="AT31" t="s">
        <v>388</v>
      </c>
      <c r="AU31" t="s">
        <v>506</v>
      </c>
      <c r="AV31" t="s">
        <v>551</v>
      </c>
      <c r="AW31" t="s">
        <v>630</v>
      </c>
      <c r="AX31" t="s">
        <v>711</v>
      </c>
      <c r="AY31" t="s">
        <v>829</v>
      </c>
      <c r="AZ31" t="s">
        <v>932</v>
      </c>
      <c r="BB31" t="s">
        <v>979</v>
      </c>
      <c r="BC31" t="s">
        <v>1026</v>
      </c>
      <c r="BD31" t="s">
        <v>1590</v>
      </c>
      <c r="BF31" t="s">
        <v>1790</v>
      </c>
      <c r="BG31" t="s">
        <v>1843</v>
      </c>
      <c r="BI31" t="s">
        <v>1890</v>
      </c>
      <c r="BK31" t="s">
        <v>1959</v>
      </c>
      <c r="BL31" t="s">
        <v>1997</v>
      </c>
      <c r="BM31" t="s">
        <v>2047</v>
      </c>
      <c r="BN31" t="s">
        <v>2245</v>
      </c>
      <c r="BO31" t="s">
        <v>2344</v>
      </c>
    </row>
    <row r="32" spans="40:67" ht="14.4" x14ac:dyDescent="0.3">
      <c r="AN32" t="s">
        <v>109</v>
      </c>
      <c r="AO32" t="s">
        <v>232</v>
      </c>
      <c r="AQ32" t="s">
        <v>305</v>
      </c>
      <c r="AS32" t="s">
        <v>350</v>
      </c>
      <c r="AT32" t="s">
        <v>389</v>
      </c>
      <c r="AU32" t="s">
        <v>507</v>
      </c>
      <c r="AV32" t="s">
        <v>552</v>
      </c>
      <c r="AW32" t="s">
        <v>631</v>
      </c>
      <c r="AX32" t="s">
        <v>712</v>
      </c>
      <c r="AY32" t="s">
        <v>830</v>
      </c>
      <c r="AZ32" t="s">
        <v>933</v>
      </c>
      <c r="BB32" t="s">
        <v>126</v>
      </c>
      <c r="BC32" t="s">
        <v>1027</v>
      </c>
      <c r="BD32" t="s">
        <v>1591</v>
      </c>
      <c r="BF32" t="s">
        <v>844</v>
      </c>
      <c r="BI32" t="s">
        <v>1891</v>
      </c>
      <c r="BK32" t="s">
        <v>1960</v>
      </c>
      <c r="BL32" t="s">
        <v>1998</v>
      </c>
      <c r="BM32" t="s">
        <v>2048</v>
      </c>
      <c r="BN32" t="s">
        <v>2246</v>
      </c>
      <c r="BO32" t="s">
        <v>2345</v>
      </c>
    </row>
    <row r="33" spans="40:67" ht="14.4" x14ac:dyDescent="0.3">
      <c r="AN33" t="s">
        <v>110</v>
      </c>
      <c r="AO33" t="s">
        <v>233</v>
      </c>
      <c r="AQ33" t="s">
        <v>306</v>
      </c>
      <c r="AS33" t="s">
        <v>351</v>
      </c>
      <c r="AT33" t="s">
        <v>390</v>
      </c>
      <c r="AU33" t="s">
        <v>508</v>
      </c>
      <c r="AV33" t="s">
        <v>553</v>
      </c>
      <c r="AW33" t="s">
        <v>632</v>
      </c>
      <c r="AX33" t="s">
        <v>713</v>
      </c>
      <c r="AY33" t="s">
        <v>831</v>
      </c>
      <c r="AZ33" t="s">
        <v>934</v>
      </c>
      <c r="BB33" t="s">
        <v>980</v>
      </c>
      <c r="BC33" t="s">
        <v>1028</v>
      </c>
      <c r="BD33" t="s">
        <v>1592</v>
      </c>
      <c r="BF33" t="s">
        <v>1789</v>
      </c>
      <c r="BI33" t="s">
        <v>1892</v>
      </c>
      <c r="BK33" t="s">
        <v>1961</v>
      </c>
      <c r="BL33" t="s">
        <v>1999</v>
      </c>
      <c r="BM33" t="s">
        <v>2049</v>
      </c>
      <c r="BN33" t="s">
        <v>2247</v>
      </c>
      <c r="BO33" t="s">
        <v>246</v>
      </c>
    </row>
    <row r="34" spans="40:67" ht="14.4" x14ac:dyDescent="0.3">
      <c r="AN34" t="s">
        <v>111</v>
      </c>
      <c r="AO34" t="s">
        <v>234</v>
      </c>
      <c r="AQ34" t="s">
        <v>307</v>
      </c>
      <c r="AS34" t="s">
        <v>352</v>
      </c>
      <c r="AT34" t="s">
        <v>391</v>
      </c>
      <c r="AU34" t="s">
        <v>509</v>
      </c>
      <c r="AV34" t="s">
        <v>554</v>
      </c>
      <c r="AW34" t="s">
        <v>633</v>
      </c>
      <c r="AX34" t="s">
        <v>714</v>
      </c>
      <c r="AY34" t="s">
        <v>832</v>
      </c>
      <c r="AZ34" t="s">
        <v>935</v>
      </c>
      <c r="BB34" t="s">
        <v>981</v>
      </c>
      <c r="BC34" t="s">
        <v>1029</v>
      </c>
      <c r="BD34" t="s">
        <v>1593</v>
      </c>
      <c r="BF34" t="s">
        <v>1788</v>
      </c>
      <c r="BI34" t="s">
        <v>1893</v>
      </c>
      <c r="BK34" t="s">
        <v>1962</v>
      </c>
      <c r="BL34" t="s">
        <v>2000</v>
      </c>
      <c r="BM34" t="s">
        <v>2050</v>
      </c>
      <c r="BN34" t="s">
        <v>2248</v>
      </c>
      <c r="BO34" t="s">
        <v>2346</v>
      </c>
    </row>
    <row r="35" spans="40:67" ht="14.4" x14ac:dyDescent="0.3">
      <c r="AN35" t="s">
        <v>112</v>
      </c>
      <c r="AO35" t="s">
        <v>235</v>
      </c>
      <c r="AQ35" t="s">
        <v>308</v>
      </c>
      <c r="AS35" t="s">
        <v>353</v>
      </c>
      <c r="AT35" t="s">
        <v>392</v>
      </c>
      <c r="AU35" t="s">
        <v>510</v>
      </c>
      <c r="AV35" t="s">
        <v>555</v>
      </c>
      <c r="AW35" t="s">
        <v>634</v>
      </c>
      <c r="AX35" t="s">
        <v>715</v>
      </c>
      <c r="AY35" t="s">
        <v>292</v>
      </c>
      <c r="BB35" t="s">
        <v>982</v>
      </c>
      <c r="BC35" t="s">
        <v>1030</v>
      </c>
      <c r="BD35" t="s">
        <v>1594</v>
      </c>
      <c r="BF35" t="s">
        <v>1787</v>
      </c>
      <c r="BI35" t="s">
        <v>1894</v>
      </c>
      <c r="BK35" t="s">
        <v>1963</v>
      </c>
      <c r="BL35" t="s">
        <v>1739</v>
      </c>
      <c r="BM35" t="s">
        <v>2051</v>
      </c>
      <c r="BN35" t="s">
        <v>2249</v>
      </c>
      <c r="BO35" t="s">
        <v>2347</v>
      </c>
    </row>
    <row r="36" spans="40:67" ht="14.4" x14ac:dyDescent="0.3">
      <c r="AN36" t="s">
        <v>113</v>
      </c>
      <c r="AO36" t="s">
        <v>236</v>
      </c>
      <c r="AQ36" t="s">
        <v>309</v>
      </c>
      <c r="AS36" t="s">
        <v>354</v>
      </c>
      <c r="AT36" t="s">
        <v>393</v>
      </c>
      <c r="AU36" t="s">
        <v>511</v>
      </c>
      <c r="AV36" t="s">
        <v>556</v>
      </c>
      <c r="AW36" t="s">
        <v>412</v>
      </c>
      <c r="AX36" t="s">
        <v>716</v>
      </c>
      <c r="AY36" t="s">
        <v>833</v>
      </c>
      <c r="BB36" t="s">
        <v>411</v>
      </c>
      <c r="BC36" t="s">
        <v>1031</v>
      </c>
      <c r="BD36" t="s">
        <v>1595</v>
      </c>
      <c r="BF36" t="s">
        <v>151</v>
      </c>
      <c r="BI36" t="s">
        <v>1895</v>
      </c>
      <c r="BK36" t="s">
        <v>157</v>
      </c>
      <c r="BL36" t="s">
        <v>2001</v>
      </c>
      <c r="BM36" t="s">
        <v>2052</v>
      </c>
      <c r="BN36" t="s">
        <v>2250</v>
      </c>
      <c r="BO36" t="s">
        <v>2348</v>
      </c>
    </row>
    <row r="37" spans="40:67" ht="14.4" x14ac:dyDescent="0.3">
      <c r="AN37" t="s">
        <v>114</v>
      </c>
      <c r="AO37" t="s">
        <v>237</v>
      </c>
      <c r="AQ37" t="s">
        <v>310</v>
      </c>
      <c r="AS37" t="s">
        <v>355</v>
      </c>
      <c r="AT37" t="s">
        <v>394</v>
      </c>
      <c r="AU37" t="s">
        <v>512</v>
      </c>
      <c r="AV37" t="s">
        <v>557</v>
      </c>
      <c r="AW37" t="s">
        <v>635</v>
      </c>
      <c r="AX37" t="s">
        <v>717</v>
      </c>
      <c r="AY37" t="s">
        <v>834</v>
      </c>
      <c r="BB37" t="s">
        <v>983</v>
      </c>
      <c r="BC37" t="s">
        <v>1032</v>
      </c>
      <c r="BD37" t="s">
        <v>1596</v>
      </c>
      <c r="BF37" t="s">
        <v>1786</v>
      </c>
      <c r="BI37" t="s">
        <v>735</v>
      </c>
      <c r="BK37" t="s">
        <v>1282</v>
      </c>
      <c r="BL37" t="s">
        <v>2002</v>
      </c>
      <c r="BM37" t="s">
        <v>2053</v>
      </c>
      <c r="BN37" t="s">
        <v>2251</v>
      </c>
      <c r="BO37" t="s">
        <v>2349</v>
      </c>
    </row>
    <row r="38" spans="40:67" ht="14.4" x14ac:dyDescent="0.3">
      <c r="AN38" t="s">
        <v>115</v>
      </c>
      <c r="AO38" t="s">
        <v>126</v>
      </c>
      <c r="AQ38" t="s">
        <v>311</v>
      </c>
      <c r="AS38" t="s">
        <v>356</v>
      </c>
      <c r="AT38" t="s">
        <v>395</v>
      </c>
      <c r="AU38" t="s">
        <v>513</v>
      </c>
      <c r="AV38" t="s">
        <v>558</v>
      </c>
      <c r="AW38" t="s">
        <v>636</v>
      </c>
      <c r="AX38" t="s">
        <v>718</v>
      </c>
      <c r="AY38" t="s">
        <v>835</v>
      </c>
      <c r="BB38" t="s">
        <v>984</v>
      </c>
      <c r="BC38" t="s">
        <v>1033</v>
      </c>
      <c r="BD38" t="s">
        <v>381</v>
      </c>
      <c r="BF38" t="s">
        <v>1785</v>
      </c>
      <c r="BI38" t="s">
        <v>132</v>
      </c>
      <c r="BK38" t="s">
        <v>1964</v>
      </c>
      <c r="BL38" t="s">
        <v>2003</v>
      </c>
      <c r="BM38" t="s">
        <v>2054</v>
      </c>
      <c r="BN38" t="s">
        <v>2252</v>
      </c>
      <c r="BO38" t="s">
        <v>2134</v>
      </c>
    </row>
    <row r="39" spans="40:67" ht="14.4" x14ac:dyDescent="0.3">
      <c r="AN39" t="s">
        <v>116</v>
      </c>
      <c r="AO39" t="s">
        <v>238</v>
      </c>
      <c r="AQ39" t="s">
        <v>312</v>
      </c>
      <c r="AS39" t="s">
        <v>357</v>
      </c>
      <c r="AT39" t="s">
        <v>396</v>
      </c>
      <c r="AU39" t="s">
        <v>514</v>
      </c>
      <c r="AV39" t="s">
        <v>559</v>
      </c>
      <c r="AW39" t="s">
        <v>637</v>
      </c>
      <c r="AX39" t="s">
        <v>719</v>
      </c>
      <c r="AY39" t="s">
        <v>836</v>
      </c>
      <c r="BB39" t="s">
        <v>985</v>
      </c>
      <c r="BC39" t="s">
        <v>792</v>
      </c>
      <c r="BD39" t="s">
        <v>1597</v>
      </c>
      <c r="BF39" t="s">
        <v>1784</v>
      </c>
      <c r="BI39" t="s">
        <v>1787</v>
      </c>
      <c r="BK39" t="s">
        <v>1965</v>
      </c>
      <c r="BL39" t="s">
        <v>2004</v>
      </c>
      <c r="BM39" t="s">
        <v>1590</v>
      </c>
      <c r="BN39" t="s">
        <v>2253</v>
      </c>
      <c r="BO39" t="s">
        <v>2350</v>
      </c>
    </row>
    <row r="40" spans="40:67" ht="14.4" x14ac:dyDescent="0.3">
      <c r="AN40" t="s">
        <v>117</v>
      </c>
      <c r="AO40" t="s">
        <v>239</v>
      </c>
      <c r="AS40" t="s">
        <v>358</v>
      </c>
      <c r="AT40" t="s">
        <v>397</v>
      </c>
      <c r="AU40" t="s">
        <v>515</v>
      </c>
      <c r="AV40" t="s">
        <v>560</v>
      </c>
      <c r="AW40" t="s">
        <v>638</v>
      </c>
      <c r="AX40" t="s">
        <v>720</v>
      </c>
      <c r="AY40" t="s">
        <v>837</v>
      </c>
      <c r="BB40" t="s">
        <v>986</v>
      </c>
      <c r="BC40" t="s">
        <v>1034</v>
      </c>
      <c r="BD40" t="s">
        <v>1598</v>
      </c>
      <c r="BF40" t="s">
        <v>1783</v>
      </c>
      <c r="BI40" t="s">
        <v>1896</v>
      </c>
      <c r="BK40" t="s">
        <v>1966</v>
      </c>
      <c r="BL40" t="s">
        <v>2005</v>
      </c>
      <c r="BM40" t="s">
        <v>2055</v>
      </c>
      <c r="BN40" t="s">
        <v>2254</v>
      </c>
      <c r="BO40" t="s">
        <v>2351</v>
      </c>
    </row>
    <row r="41" spans="40:67" ht="14.4" x14ac:dyDescent="0.3">
      <c r="AN41" t="s">
        <v>118</v>
      </c>
      <c r="AO41" t="s">
        <v>240</v>
      </c>
      <c r="AT41" t="s">
        <v>398</v>
      </c>
      <c r="AU41" t="s">
        <v>516</v>
      </c>
      <c r="AV41" t="s">
        <v>561</v>
      </c>
      <c r="AW41" t="s">
        <v>639</v>
      </c>
      <c r="AX41" t="s">
        <v>721</v>
      </c>
      <c r="AY41" t="s">
        <v>838</v>
      </c>
      <c r="BB41" t="s">
        <v>987</v>
      </c>
      <c r="BC41" t="s">
        <v>1035</v>
      </c>
      <c r="BD41" t="s">
        <v>1599</v>
      </c>
      <c r="BI41" t="s">
        <v>1897</v>
      </c>
      <c r="BK41" t="s">
        <v>1967</v>
      </c>
      <c r="BL41" t="s">
        <v>2006</v>
      </c>
      <c r="BM41" t="s">
        <v>2056</v>
      </c>
      <c r="BN41" t="s">
        <v>2255</v>
      </c>
      <c r="BO41" t="s">
        <v>2352</v>
      </c>
    </row>
    <row r="42" spans="40:67" ht="14.4" x14ac:dyDescent="0.3">
      <c r="AN42" t="s">
        <v>119</v>
      </c>
      <c r="AO42" t="s">
        <v>241</v>
      </c>
      <c r="AT42" t="s">
        <v>399</v>
      </c>
      <c r="AU42" t="s">
        <v>517</v>
      </c>
      <c r="AV42" t="s">
        <v>562</v>
      </c>
      <c r="AW42" t="s">
        <v>640</v>
      </c>
      <c r="AX42" t="s">
        <v>722</v>
      </c>
      <c r="AY42" t="s">
        <v>839</v>
      </c>
      <c r="BB42" t="s">
        <v>988</v>
      </c>
      <c r="BC42" t="s">
        <v>1036</v>
      </c>
      <c r="BD42" t="s">
        <v>1600</v>
      </c>
      <c r="BI42" t="s">
        <v>1898</v>
      </c>
      <c r="BK42" t="s">
        <v>519</v>
      </c>
      <c r="BL42" t="s">
        <v>2007</v>
      </c>
      <c r="BM42" t="s">
        <v>2057</v>
      </c>
      <c r="BN42" t="s">
        <v>2256</v>
      </c>
      <c r="BO42" t="s">
        <v>2353</v>
      </c>
    </row>
    <row r="43" spans="40:67" ht="14.4" x14ac:dyDescent="0.3">
      <c r="AN43" t="s">
        <v>120</v>
      </c>
      <c r="AO43" t="s">
        <v>242</v>
      </c>
      <c r="AT43" t="s">
        <v>400</v>
      </c>
      <c r="AU43" t="s">
        <v>518</v>
      </c>
      <c r="AV43" t="s">
        <v>563</v>
      </c>
      <c r="AW43" t="s">
        <v>641</v>
      </c>
      <c r="AX43" t="s">
        <v>723</v>
      </c>
      <c r="AY43" t="s">
        <v>840</v>
      </c>
      <c r="BB43" t="s">
        <v>989</v>
      </c>
      <c r="BC43" t="s">
        <v>1037</v>
      </c>
      <c r="BD43" t="s">
        <v>1601</v>
      </c>
      <c r="BI43" t="s">
        <v>1899</v>
      </c>
      <c r="BK43" t="s">
        <v>520</v>
      </c>
      <c r="BL43" t="s">
        <v>2008</v>
      </c>
      <c r="BM43" t="s">
        <v>2058</v>
      </c>
      <c r="BN43" t="s">
        <v>2257</v>
      </c>
      <c r="BO43" t="s">
        <v>2354</v>
      </c>
    </row>
    <row r="44" spans="40:67" ht="14.4" x14ac:dyDescent="0.3">
      <c r="AN44" t="s">
        <v>121</v>
      </c>
      <c r="AO44" t="s">
        <v>243</v>
      </c>
      <c r="AT44" t="s">
        <v>401</v>
      </c>
      <c r="AU44" t="s">
        <v>519</v>
      </c>
      <c r="AV44" t="s">
        <v>564</v>
      </c>
      <c r="AW44" t="s">
        <v>642</v>
      </c>
      <c r="AX44" t="s">
        <v>724</v>
      </c>
      <c r="AY44" t="s">
        <v>841</v>
      </c>
      <c r="BB44" t="s">
        <v>990</v>
      </c>
      <c r="BC44" t="s">
        <v>1038</v>
      </c>
      <c r="BD44" t="s">
        <v>1602</v>
      </c>
      <c r="BI44" t="s">
        <v>1900</v>
      </c>
      <c r="BK44" t="s">
        <v>1968</v>
      </c>
      <c r="BL44" t="s">
        <v>2009</v>
      </c>
      <c r="BM44" t="s">
        <v>2059</v>
      </c>
      <c r="BN44" t="s">
        <v>2258</v>
      </c>
      <c r="BO44" t="s">
        <v>2355</v>
      </c>
    </row>
    <row r="45" spans="40:67" ht="14.4" x14ac:dyDescent="0.3">
      <c r="AN45" t="s">
        <v>122</v>
      </c>
      <c r="AO45" t="s">
        <v>244</v>
      </c>
      <c r="AT45" t="s">
        <v>402</v>
      </c>
      <c r="AU45" t="s">
        <v>520</v>
      </c>
      <c r="AV45" t="s">
        <v>565</v>
      </c>
      <c r="AW45" t="s">
        <v>643</v>
      </c>
      <c r="AX45" t="s">
        <v>725</v>
      </c>
      <c r="AY45" t="s">
        <v>237</v>
      </c>
      <c r="BB45" t="s">
        <v>991</v>
      </c>
      <c r="BC45" t="s">
        <v>1039</v>
      </c>
      <c r="BD45" t="s">
        <v>1603</v>
      </c>
      <c r="BI45" t="s">
        <v>1901</v>
      </c>
      <c r="BL45" t="s">
        <v>2010</v>
      </c>
      <c r="BM45" t="s">
        <v>2060</v>
      </c>
      <c r="BN45" t="s">
        <v>2259</v>
      </c>
      <c r="BO45" t="s">
        <v>2356</v>
      </c>
    </row>
    <row r="46" spans="40:67" ht="14.4" x14ac:dyDescent="0.3">
      <c r="AN46" t="s">
        <v>123</v>
      </c>
      <c r="AO46" t="s">
        <v>245</v>
      </c>
      <c r="AT46" t="s">
        <v>403</v>
      </c>
      <c r="AU46" t="s">
        <v>521</v>
      </c>
      <c r="AV46" t="s">
        <v>566</v>
      </c>
      <c r="AW46" t="s">
        <v>644</v>
      </c>
      <c r="AX46" t="s">
        <v>726</v>
      </c>
      <c r="AY46" t="s">
        <v>842</v>
      </c>
      <c r="BB46" t="s">
        <v>992</v>
      </c>
      <c r="BC46" t="s">
        <v>1040</v>
      </c>
      <c r="BD46" t="s">
        <v>1604</v>
      </c>
      <c r="BI46" t="s">
        <v>1902</v>
      </c>
      <c r="BL46" t="s">
        <v>280</v>
      </c>
      <c r="BM46" t="s">
        <v>2061</v>
      </c>
      <c r="BN46" t="s">
        <v>2260</v>
      </c>
      <c r="BO46" t="s">
        <v>2357</v>
      </c>
    </row>
    <row r="47" spans="40:67" ht="14.4" x14ac:dyDescent="0.3">
      <c r="AN47" t="s">
        <v>124</v>
      </c>
      <c r="AO47" t="s">
        <v>246</v>
      </c>
      <c r="AT47" t="s">
        <v>404</v>
      </c>
      <c r="AU47" t="s">
        <v>522</v>
      </c>
      <c r="AV47" t="s">
        <v>567</v>
      </c>
      <c r="AW47" t="s">
        <v>645</v>
      </c>
      <c r="AX47" t="s">
        <v>727</v>
      </c>
      <c r="AY47" t="s">
        <v>126</v>
      </c>
      <c r="BB47" t="s">
        <v>993</v>
      </c>
      <c r="BC47" t="s">
        <v>1041</v>
      </c>
      <c r="BD47" t="s">
        <v>1605</v>
      </c>
      <c r="BI47" t="s">
        <v>1903</v>
      </c>
      <c r="BL47" t="s">
        <v>200</v>
      </c>
      <c r="BM47" t="s">
        <v>2062</v>
      </c>
      <c r="BN47" t="s">
        <v>2261</v>
      </c>
      <c r="BO47" t="s">
        <v>2358</v>
      </c>
    </row>
    <row r="48" spans="40:67" ht="14.4" x14ac:dyDescent="0.3">
      <c r="AN48" t="s">
        <v>125</v>
      </c>
      <c r="AO48" t="s">
        <v>247</v>
      </c>
      <c r="AT48" t="s">
        <v>405</v>
      </c>
      <c r="AV48" t="s">
        <v>568</v>
      </c>
      <c r="AW48" t="s">
        <v>646</v>
      </c>
      <c r="AX48" t="s">
        <v>728</v>
      </c>
      <c r="AY48" t="s">
        <v>843</v>
      </c>
      <c r="BB48" t="s">
        <v>292</v>
      </c>
      <c r="BC48" t="s">
        <v>1042</v>
      </c>
      <c r="BD48" t="s">
        <v>386</v>
      </c>
      <c r="BI48" t="s">
        <v>1904</v>
      </c>
      <c r="BL48" t="s">
        <v>848</v>
      </c>
      <c r="BM48" t="s">
        <v>2063</v>
      </c>
      <c r="BN48" t="s">
        <v>2262</v>
      </c>
      <c r="BO48" t="s">
        <v>2359</v>
      </c>
    </row>
    <row r="49" spans="40:67" ht="14.4" x14ac:dyDescent="0.3">
      <c r="AN49" t="s">
        <v>126</v>
      </c>
      <c r="AO49" t="s">
        <v>248</v>
      </c>
      <c r="AT49" t="s">
        <v>406</v>
      </c>
      <c r="AV49" t="s">
        <v>569</v>
      </c>
      <c r="AW49" t="s">
        <v>647</v>
      </c>
      <c r="AX49" t="s">
        <v>51</v>
      </c>
      <c r="AY49" t="s">
        <v>844</v>
      </c>
      <c r="BB49" t="s">
        <v>510</v>
      </c>
      <c r="BC49" t="s">
        <v>1043</v>
      </c>
      <c r="BD49" t="s">
        <v>1606</v>
      </c>
      <c r="BI49" t="s">
        <v>1905</v>
      </c>
      <c r="BL49" t="s">
        <v>2011</v>
      </c>
      <c r="BM49" t="s">
        <v>2064</v>
      </c>
      <c r="BN49" t="s">
        <v>2263</v>
      </c>
      <c r="BO49" t="s">
        <v>2360</v>
      </c>
    </row>
    <row r="50" spans="40:67" ht="14.4" x14ac:dyDescent="0.3">
      <c r="AN50" t="s">
        <v>127</v>
      </c>
      <c r="AO50" t="s">
        <v>249</v>
      </c>
      <c r="AT50" t="s">
        <v>407</v>
      </c>
      <c r="AV50" t="s">
        <v>570</v>
      </c>
      <c r="AW50" t="s">
        <v>648</v>
      </c>
      <c r="AX50" t="s">
        <v>729</v>
      </c>
      <c r="AY50" t="s">
        <v>845</v>
      </c>
      <c r="BB50" t="s">
        <v>994</v>
      </c>
      <c r="BC50" t="s">
        <v>1044</v>
      </c>
      <c r="BD50" t="s">
        <v>1607</v>
      </c>
      <c r="BI50" t="s">
        <v>1906</v>
      </c>
      <c r="BL50" t="s">
        <v>2012</v>
      </c>
      <c r="BM50" t="s">
        <v>2065</v>
      </c>
      <c r="BN50" t="s">
        <v>2264</v>
      </c>
      <c r="BO50" t="s">
        <v>2361</v>
      </c>
    </row>
    <row r="51" spans="40:67" ht="14.4" x14ac:dyDescent="0.3">
      <c r="AN51" t="s">
        <v>128</v>
      </c>
      <c r="AO51" t="s">
        <v>250</v>
      </c>
      <c r="AT51" t="s">
        <v>408</v>
      </c>
      <c r="AV51" t="s">
        <v>571</v>
      </c>
      <c r="AW51" t="s">
        <v>649</v>
      </c>
      <c r="AX51" t="s">
        <v>730</v>
      </c>
      <c r="AY51" t="s">
        <v>846</v>
      </c>
      <c r="BB51" t="s">
        <v>995</v>
      </c>
      <c r="BC51" t="s">
        <v>1045</v>
      </c>
      <c r="BD51" t="s">
        <v>1608</v>
      </c>
      <c r="BI51" t="s">
        <v>151</v>
      </c>
      <c r="BL51" t="s">
        <v>2013</v>
      </c>
      <c r="BM51" t="s">
        <v>2066</v>
      </c>
      <c r="BN51" t="s">
        <v>2265</v>
      </c>
      <c r="BO51" t="s">
        <v>2362</v>
      </c>
    </row>
    <row r="52" spans="40:67" ht="14.4" x14ac:dyDescent="0.3">
      <c r="AN52" t="s">
        <v>129</v>
      </c>
      <c r="AO52" t="s">
        <v>251</v>
      </c>
      <c r="AT52" t="s">
        <v>409</v>
      </c>
      <c r="AV52" t="s">
        <v>572</v>
      </c>
      <c r="AW52" t="s">
        <v>650</v>
      </c>
      <c r="AX52" t="s">
        <v>731</v>
      </c>
      <c r="AY52" t="s">
        <v>847</v>
      </c>
      <c r="BB52" t="s">
        <v>996</v>
      </c>
      <c r="BC52" t="s">
        <v>1046</v>
      </c>
      <c r="BD52" t="s">
        <v>1609</v>
      </c>
      <c r="BI52" t="s">
        <v>256</v>
      </c>
      <c r="BL52" t="s">
        <v>2014</v>
      </c>
      <c r="BM52" t="s">
        <v>2067</v>
      </c>
      <c r="BN52" t="s">
        <v>2266</v>
      </c>
      <c r="BO52" t="s">
        <v>2363</v>
      </c>
    </row>
    <row r="53" spans="40:67" ht="14.4" x14ac:dyDescent="0.3">
      <c r="AN53" t="s">
        <v>130</v>
      </c>
      <c r="AO53" t="s">
        <v>252</v>
      </c>
      <c r="AT53" t="s">
        <v>410</v>
      </c>
      <c r="AV53" t="s">
        <v>573</v>
      </c>
      <c r="AW53" t="s">
        <v>651</v>
      </c>
      <c r="AX53" t="s">
        <v>732</v>
      </c>
      <c r="AY53" t="s">
        <v>848</v>
      </c>
      <c r="BC53" t="s">
        <v>1047</v>
      </c>
      <c r="BD53" t="s">
        <v>1610</v>
      </c>
      <c r="BI53" t="s">
        <v>1907</v>
      </c>
      <c r="BL53" t="s">
        <v>2015</v>
      </c>
      <c r="BM53" t="s">
        <v>2068</v>
      </c>
      <c r="BN53" t="s">
        <v>2267</v>
      </c>
      <c r="BO53" t="s">
        <v>2364</v>
      </c>
    </row>
    <row r="54" spans="40:67" ht="14.4" x14ac:dyDescent="0.3">
      <c r="AN54" t="s">
        <v>131</v>
      </c>
      <c r="AO54" t="s">
        <v>253</v>
      </c>
      <c r="AT54" t="s">
        <v>411</v>
      </c>
      <c r="AV54" t="s">
        <v>574</v>
      </c>
      <c r="AW54" t="s">
        <v>652</v>
      </c>
      <c r="AX54" t="s">
        <v>733</v>
      </c>
      <c r="AY54" t="s">
        <v>849</v>
      </c>
      <c r="BC54" t="s">
        <v>1048</v>
      </c>
      <c r="BD54" t="s">
        <v>1611</v>
      </c>
      <c r="BI54" t="s">
        <v>1908</v>
      </c>
      <c r="BL54" t="s">
        <v>2016</v>
      </c>
      <c r="BM54" t="s">
        <v>2069</v>
      </c>
      <c r="BN54" t="s">
        <v>2268</v>
      </c>
      <c r="BO54" t="s">
        <v>2365</v>
      </c>
    </row>
    <row r="55" spans="40:67" ht="14.4" x14ac:dyDescent="0.3">
      <c r="AN55" t="s">
        <v>132</v>
      </c>
      <c r="AO55" t="s">
        <v>254</v>
      </c>
      <c r="AT55" t="s">
        <v>412</v>
      </c>
      <c r="AV55" t="s">
        <v>575</v>
      </c>
      <c r="AW55" t="s">
        <v>653</v>
      </c>
      <c r="AX55" t="s">
        <v>734</v>
      </c>
      <c r="AY55" t="s">
        <v>246</v>
      </c>
      <c r="BC55" t="s">
        <v>1049</v>
      </c>
      <c r="BD55" t="s">
        <v>1612</v>
      </c>
      <c r="BI55" t="s">
        <v>1909</v>
      </c>
      <c r="BL55" t="s">
        <v>2017</v>
      </c>
      <c r="BM55" t="s">
        <v>2070</v>
      </c>
      <c r="BN55" t="s">
        <v>2269</v>
      </c>
      <c r="BO55" t="s">
        <v>792</v>
      </c>
    </row>
    <row r="56" spans="40:67" ht="14.4" x14ac:dyDescent="0.3">
      <c r="AN56" t="s">
        <v>133</v>
      </c>
      <c r="AO56" t="s">
        <v>255</v>
      </c>
      <c r="AT56" t="s">
        <v>413</v>
      </c>
      <c r="AV56" t="s">
        <v>576</v>
      </c>
      <c r="AW56" t="s">
        <v>654</v>
      </c>
      <c r="AX56" t="s">
        <v>735</v>
      </c>
      <c r="AY56" t="s">
        <v>850</v>
      </c>
      <c r="BC56" t="s">
        <v>1050</v>
      </c>
      <c r="BD56" t="s">
        <v>1613</v>
      </c>
      <c r="BI56" t="s">
        <v>1910</v>
      </c>
      <c r="BL56" t="s">
        <v>2018</v>
      </c>
      <c r="BM56" t="s">
        <v>2071</v>
      </c>
      <c r="BN56" t="s">
        <v>2270</v>
      </c>
      <c r="BO56" t="s">
        <v>2366</v>
      </c>
    </row>
    <row r="57" spans="40:67" ht="14.4" x14ac:dyDescent="0.3">
      <c r="AN57" t="s">
        <v>134</v>
      </c>
      <c r="AO57" t="s">
        <v>256</v>
      </c>
      <c r="AT57" t="s">
        <v>246</v>
      </c>
      <c r="AV57" t="s">
        <v>577</v>
      </c>
      <c r="AW57" t="s">
        <v>655</v>
      </c>
      <c r="AX57" t="s">
        <v>736</v>
      </c>
      <c r="AY57" t="s">
        <v>851</v>
      </c>
      <c r="BC57" t="s">
        <v>1051</v>
      </c>
      <c r="BD57" t="s">
        <v>1614</v>
      </c>
      <c r="BI57" t="s">
        <v>1911</v>
      </c>
      <c r="BL57" t="s">
        <v>2019</v>
      </c>
      <c r="BM57" t="s">
        <v>2072</v>
      </c>
      <c r="BN57" t="s">
        <v>2271</v>
      </c>
      <c r="BO57" t="s">
        <v>2367</v>
      </c>
    </row>
    <row r="58" spans="40:67" ht="14.4" x14ac:dyDescent="0.3">
      <c r="AN58" t="s">
        <v>135</v>
      </c>
      <c r="AO58" t="s">
        <v>257</v>
      </c>
      <c r="AT58" t="s">
        <v>414</v>
      </c>
      <c r="AV58" t="s">
        <v>578</v>
      </c>
      <c r="AW58" t="s">
        <v>656</v>
      </c>
      <c r="AX58" t="s">
        <v>737</v>
      </c>
      <c r="AY58" t="s">
        <v>852</v>
      </c>
      <c r="BC58" t="s">
        <v>1052</v>
      </c>
      <c r="BD58" t="s">
        <v>1615</v>
      </c>
      <c r="BI58" t="s">
        <v>1912</v>
      </c>
      <c r="BL58" t="s">
        <v>2020</v>
      </c>
      <c r="BM58" t="s">
        <v>2073</v>
      </c>
      <c r="BN58" t="s">
        <v>2272</v>
      </c>
      <c r="BO58" t="s">
        <v>2368</v>
      </c>
    </row>
    <row r="59" spans="40:67" ht="14.4" x14ac:dyDescent="0.3">
      <c r="AN59" t="s">
        <v>136</v>
      </c>
      <c r="AO59" t="s">
        <v>258</v>
      </c>
      <c r="AT59" t="s">
        <v>415</v>
      </c>
      <c r="AV59" t="s">
        <v>579</v>
      </c>
      <c r="AW59" t="s">
        <v>657</v>
      </c>
      <c r="AX59" t="s">
        <v>738</v>
      </c>
      <c r="AY59" t="s">
        <v>853</v>
      </c>
      <c r="BC59" t="s">
        <v>1053</v>
      </c>
      <c r="BD59" t="s">
        <v>1616</v>
      </c>
      <c r="BI59" t="s">
        <v>1345</v>
      </c>
      <c r="BL59" t="s">
        <v>2021</v>
      </c>
      <c r="BM59" t="s">
        <v>2074</v>
      </c>
      <c r="BN59" t="s">
        <v>2273</v>
      </c>
      <c r="BO59" t="s">
        <v>2369</v>
      </c>
    </row>
    <row r="60" spans="40:67" ht="14.4" x14ac:dyDescent="0.3">
      <c r="AN60" t="s">
        <v>137</v>
      </c>
      <c r="AO60" t="s">
        <v>259</v>
      </c>
      <c r="AT60" t="s">
        <v>416</v>
      </c>
      <c r="AV60" t="s">
        <v>580</v>
      </c>
      <c r="AW60" t="s">
        <v>658</v>
      </c>
      <c r="AX60" t="s">
        <v>739</v>
      </c>
      <c r="AY60" t="s">
        <v>854</v>
      </c>
      <c r="BC60" t="s">
        <v>1054</v>
      </c>
      <c r="BD60" t="s">
        <v>1617</v>
      </c>
      <c r="BI60" t="s">
        <v>1913</v>
      </c>
      <c r="BL60" t="s">
        <v>2022</v>
      </c>
      <c r="BM60" t="s">
        <v>2075</v>
      </c>
      <c r="BN60" t="s">
        <v>300</v>
      </c>
    </row>
    <row r="61" spans="40:67" ht="14.4" x14ac:dyDescent="0.3">
      <c r="AN61" t="s">
        <v>138</v>
      </c>
      <c r="AO61" t="s">
        <v>260</v>
      </c>
      <c r="AT61" t="s">
        <v>417</v>
      </c>
      <c r="AV61" t="s">
        <v>581</v>
      </c>
      <c r="AW61" t="s">
        <v>659</v>
      </c>
      <c r="AX61" t="s">
        <v>740</v>
      </c>
      <c r="AY61" t="s">
        <v>855</v>
      </c>
      <c r="BC61" t="s">
        <v>1055</v>
      </c>
      <c r="BD61" t="s">
        <v>1618</v>
      </c>
      <c r="BI61" t="s">
        <v>1914</v>
      </c>
      <c r="BL61" t="s">
        <v>2023</v>
      </c>
      <c r="BM61" t="s">
        <v>2076</v>
      </c>
      <c r="BN61" t="s">
        <v>2274</v>
      </c>
    </row>
    <row r="62" spans="40:67" ht="14.4" x14ac:dyDescent="0.3">
      <c r="AN62" t="s">
        <v>139</v>
      </c>
      <c r="AO62" t="s">
        <v>261</v>
      </c>
      <c r="AT62" t="s">
        <v>418</v>
      </c>
      <c r="AV62" t="s">
        <v>582</v>
      </c>
      <c r="AW62" t="s">
        <v>660</v>
      </c>
      <c r="AX62" t="s">
        <v>741</v>
      </c>
      <c r="AY62" t="s">
        <v>251</v>
      </c>
      <c r="BC62" t="s">
        <v>1056</v>
      </c>
      <c r="BD62" t="s">
        <v>622</v>
      </c>
      <c r="BI62" t="s">
        <v>1915</v>
      </c>
      <c r="BM62" t="s">
        <v>2077</v>
      </c>
      <c r="BN62" t="s">
        <v>2275</v>
      </c>
    </row>
    <row r="63" spans="40:67" ht="14.4" x14ac:dyDescent="0.3">
      <c r="AN63" t="s">
        <v>140</v>
      </c>
      <c r="AO63" t="s">
        <v>262</v>
      </c>
      <c r="AT63" t="s">
        <v>419</v>
      </c>
      <c r="AV63" t="s">
        <v>583</v>
      </c>
      <c r="AW63" t="s">
        <v>661</v>
      </c>
      <c r="AX63" t="s">
        <v>742</v>
      </c>
      <c r="AY63" t="s">
        <v>856</v>
      </c>
      <c r="BC63" t="s">
        <v>1057</v>
      </c>
      <c r="BD63" t="s">
        <v>1619</v>
      </c>
      <c r="BI63" t="s">
        <v>1916</v>
      </c>
      <c r="BM63" t="s">
        <v>2078</v>
      </c>
      <c r="BN63" t="s">
        <v>2276</v>
      </c>
    </row>
    <row r="64" spans="40:67" ht="14.4" x14ac:dyDescent="0.3">
      <c r="AN64" t="s">
        <v>141</v>
      </c>
      <c r="AO64" t="s">
        <v>263</v>
      </c>
      <c r="AT64" t="s">
        <v>420</v>
      </c>
      <c r="AV64" t="s">
        <v>584</v>
      </c>
      <c r="AW64" t="s">
        <v>662</v>
      </c>
      <c r="AX64" t="s">
        <v>743</v>
      </c>
      <c r="AY64" t="s">
        <v>857</v>
      </c>
      <c r="BC64" t="s">
        <v>1058</v>
      </c>
      <c r="BD64" t="s">
        <v>1620</v>
      </c>
      <c r="BI64" t="s">
        <v>1917</v>
      </c>
      <c r="BM64" t="s">
        <v>2079</v>
      </c>
      <c r="BN64" t="s">
        <v>2277</v>
      </c>
    </row>
    <row r="65" spans="40:66" ht="14.4" x14ac:dyDescent="0.3">
      <c r="AN65" t="s">
        <v>142</v>
      </c>
      <c r="AO65" t="s">
        <v>264</v>
      </c>
      <c r="AT65" t="s">
        <v>337</v>
      </c>
      <c r="AV65" t="s">
        <v>585</v>
      </c>
      <c r="AW65" t="s">
        <v>663</v>
      </c>
      <c r="AX65" t="s">
        <v>744</v>
      </c>
      <c r="AY65" t="s">
        <v>858</v>
      </c>
      <c r="BC65" t="s">
        <v>1059</v>
      </c>
      <c r="BD65" t="s">
        <v>1621</v>
      </c>
      <c r="BI65" t="s">
        <v>1918</v>
      </c>
      <c r="BM65" t="s">
        <v>2080</v>
      </c>
      <c r="BN65" t="s">
        <v>2278</v>
      </c>
    </row>
    <row r="66" spans="40:66" ht="14.4" x14ac:dyDescent="0.3">
      <c r="AN66" t="s">
        <v>143</v>
      </c>
      <c r="AO66" t="s">
        <v>265</v>
      </c>
      <c r="AT66" t="s">
        <v>421</v>
      </c>
      <c r="AV66" t="s">
        <v>586</v>
      </c>
      <c r="AW66" t="s">
        <v>664</v>
      </c>
      <c r="AX66" t="s">
        <v>745</v>
      </c>
      <c r="AY66" t="s">
        <v>859</v>
      </c>
      <c r="BC66" t="s">
        <v>1060</v>
      </c>
      <c r="BD66" t="s">
        <v>1622</v>
      </c>
      <c r="BI66" t="s">
        <v>1919</v>
      </c>
      <c r="BM66" t="s">
        <v>200</v>
      </c>
      <c r="BN66" t="s">
        <v>506</v>
      </c>
    </row>
    <row r="67" spans="40:66" ht="14.4" x14ac:dyDescent="0.3">
      <c r="AN67" t="s">
        <v>144</v>
      </c>
      <c r="AO67" t="s">
        <v>266</v>
      </c>
      <c r="AT67" t="s">
        <v>422</v>
      </c>
      <c r="AV67" t="s">
        <v>587</v>
      </c>
      <c r="AW67" t="s">
        <v>665</v>
      </c>
      <c r="AX67" t="s">
        <v>746</v>
      </c>
      <c r="AY67" t="s">
        <v>860</v>
      </c>
      <c r="BC67" t="s">
        <v>1061</v>
      </c>
      <c r="BD67" t="s">
        <v>229</v>
      </c>
      <c r="BI67" t="s">
        <v>1920</v>
      </c>
      <c r="BM67" t="s">
        <v>2081</v>
      </c>
      <c r="BN67" t="s">
        <v>2279</v>
      </c>
    </row>
    <row r="68" spans="40:66" ht="14.4" x14ac:dyDescent="0.3">
      <c r="AN68" t="s">
        <v>145</v>
      </c>
      <c r="AO68" t="s">
        <v>267</v>
      </c>
      <c r="AT68" t="s">
        <v>423</v>
      </c>
      <c r="AV68" t="s">
        <v>588</v>
      </c>
      <c r="AW68" t="s">
        <v>666</v>
      </c>
      <c r="AX68" t="s">
        <v>747</v>
      </c>
      <c r="AY68" t="s">
        <v>861</v>
      </c>
      <c r="BC68" t="s">
        <v>1062</v>
      </c>
      <c r="BD68" t="s">
        <v>329</v>
      </c>
      <c r="BI68" t="s">
        <v>792</v>
      </c>
      <c r="BM68" t="s">
        <v>2082</v>
      </c>
      <c r="BN68" t="s">
        <v>2280</v>
      </c>
    </row>
    <row r="69" spans="40:66" ht="14.4" x14ac:dyDescent="0.3">
      <c r="AN69" t="s">
        <v>146</v>
      </c>
      <c r="AT69" t="s">
        <v>424</v>
      </c>
      <c r="AV69" t="s">
        <v>589</v>
      </c>
      <c r="AW69" t="s">
        <v>667</v>
      </c>
      <c r="AX69" t="s">
        <v>748</v>
      </c>
      <c r="AY69" t="s">
        <v>862</v>
      </c>
      <c r="BC69" t="s">
        <v>1063</v>
      </c>
      <c r="BD69" t="s">
        <v>1623</v>
      </c>
      <c r="BI69" t="s">
        <v>1921</v>
      </c>
      <c r="BM69" t="s">
        <v>2083</v>
      </c>
      <c r="BN69" t="s">
        <v>2281</v>
      </c>
    </row>
    <row r="70" spans="40:66" ht="14.4" x14ac:dyDescent="0.3">
      <c r="AN70" t="s">
        <v>147</v>
      </c>
      <c r="AT70" t="s">
        <v>425</v>
      </c>
      <c r="AV70" t="s">
        <v>590</v>
      </c>
      <c r="AW70" t="s">
        <v>668</v>
      </c>
      <c r="AX70" t="s">
        <v>749</v>
      </c>
      <c r="AY70" t="s">
        <v>863</v>
      </c>
      <c r="BC70" t="s">
        <v>1064</v>
      </c>
      <c r="BD70" t="s">
        <v>1624</v>
      </c>
      <c r="BI70" t="s">
        <v>1922</v>
      </c>
      <c r="BM70" t="s">
        <v>2084</v>
      </c>
      <c r="BN70" t="s">
        <v>2282</v>
      </c>
    </row>
    <row r="71" spans="40:66" ht="14.4" x14ac:dyDescent="0.3">
      <c r="AN71" t="s">
        <v>148</v>
      </c>
      <c r="AT71" t="s">
        <v>63</v>
      </c>
      <c r="AV71" t="s">
        <v>591</v>
      </c>
      <c r="AW71" t="s">
        <v>669</v>
      </c>
      <c r="AX71" t="s">
        <v>750</v>
      </c>
      <c r="AY71" t="s">
        <v>864</v>
      </c>
      <c r="BC71" t="s">
        <v>1065</v>
      </c>
      <c r="BD71" t="s">
        <v>1625</v>
      </c>
      <c r="BI71" t="s">
        <v>1923</v>
      </c>
      <c r="BM71" t="s">
        <v>2085</v>
      </c>
      <c r="BN71" t="s">
        <v>2283</v>
      </c>
    </row>
    <row r="72" spans="40:66" ht="14.4" x14ac:dyDescent="0.3">
      <c r="AN72" t="s">
        <v>149</v>
      </c>
      <c r="AT72" t="s">
        <v>426</v>
      </c>
      <c r="AV72" t="s">
        <v>592</v>
      </c>
      <c r="AW72" t="s">
        <v>670</v>
      </c>
      <c r="AX72" t="s">
        <v>751</v>
      </c>
      <c r="AY72" t="s">
        <v>865</v>
      </c>
      <c r="BC72" t="s">
        <v>1066</v>
      </c>
      <c r="BD72" t="s">
        <v>1626</v>
      </c>
      <c r="BI72" t="s">
        <v>280</v>
      </c>
      <c r="BM72" t="s">
        <v>2086</v>
      </c>
      <c r="BN72" t="s">
        <v>2284</v>
      </c>
    </row>
    <row r="73" spans="40:66" ht="14.4" x14ac:dyDescent="0.3">
      <c r="AN73" t="s">
        <v>150</v>
      </c>
      <c r="AT73" t="s">
        <v>151</v>
      </c>
      <c r="AV73" t="s">
        <v>593</v>
      </c>
      <c r="AW73" t="s">
        <v>671</v>
      </c>
      <c r="AX73" t="s">
        <v>752</v>
      </c>
      <c r="AY73" t="s">
        <v>866</v>
      </c>
      <c r="BC73" t="s">
        <v>1067</v>
      </c>
      <c r="BD73" t="s">
        <v>627</v>
      </c>
      <c r="BI73" t="s">
        <v>1924</v>
      </c>
      <c r="BM73" t="s">
        <v>2087</v>
      </c>
      <c r="BN73" t="s">
        <v>2285</v>
      </c>
    </row>
    <row r="74" spans="40:66" ht="14.4" x14ac:dyDescent="0.3">
      <c r="AN74" t="s">
        <v>151</v>
      </c>
      <c r="AT74" t="s">
        <v>427</v>
      </c>
      <c r="AV74" t="s">
        <v>594</v>
      </c>
      <c r="AW74" t="s">
        <v>672</v>
      </c>
      <c r="AX74" t="s">
        <v>753</v>
      </c>
      <c r="AY74" t="s">
        <v>867</v>
      </c>
      <c r="BC74" t="s">
        <v>1068</v>
      </c>
      <c r="BD74" t="s">
        <v>1627</v>
      </c>
      <c r="BM74" t="s">
        <v>2088</v>
      </c>
      <c r="BN74" t="s">
        <v>2286</v>
      </c>
    </row>
    <row r="75" spans="40:66" ht="14.4" x14ac:dyDescent="0.3">
      <c r="AN75" t="s">
        <v>152</v>
      </c>
      <c r="AT75" t="s">
        <v>428</v>
      </c>
      <c r="AV75" t="s">
        <v>595</v>
      </c>
      <c r="AW75" t="s">
        <v>673</v>
      </c>
      <c r="AX75" t="s">
        <v>754</v>
      </c>
      <c r="AY75" t="s">
        <v>868</v>
      </c>
      <c r="BC75" t="s">
        <v>1069</v>
      </c>
      <c r="BD75" t="s">
        <v>1628</v>
      </c>
      <c r="BM75" t="s">
        <v>2089</v>
      </c>
      <c r="BN75" t="s">
        <v>2287</v>
      </c>
    </row>
    <row r="76" spans="40:66" ht="14.4" x14ac:dyDescent="0.3">
      <c r="AN76" t="s">
        <v>153</v>
      </c>
      <c r="AT76" t="s">
        <v>429</v>
      </c>
      <c r="AV76" t="s">
        <v>596</v>
      </c>
      <c r="AW76" t="s">
        <v>674</v>
      </c>
      <c r="AX76" t="s">
        <v>574</v>
      </c>
      <c r="AY76" t="s">
        <v>869</v>
      </c>
      <c r="BC76" t="s">
        <v>1070</v>
      </c>
      <c r="BD76" t="s">
        <v>1629</v>
      </c>
      <c r="BM76" t="s">
        <v>2090</v>
      </c>
      <c r="BN76" t="s">
        <v>2288</v>
      </c>
    </row>
    <row r="77" spans="40:66" ht="14.4" x14ac:dyDescent="0.3">
      <c r="AN77" t="s">
        <v>154</v>
      </c>
      <c r="AT77" t="s">
        <v>430</v>
      </c>
      <c r="AV77" t="s">
        <v>597</v>
      </c>
      <c r="AW77" t="s">
        <v>675</v>
      </c>
      <c r="AX77" t="s">
        <v>755</v>
      </c>
      <c r="AY77" t="s">
        <v>870</v>
      </c>
      <c r="BC77" t="s">
        <v>1071</v>
      </c>
      <c r="BD77" t="s">
        <v>1630</v>
      </c>
      <c r="BM77" t="s">
        <v>2091</v>
      </c>
      <c r="BN77" t="s">
        <v>2289</v>
      </c>
    </row>
    <row r="78" spans="40:66" ht="14.4" x14ac:dyDescent="0.3">
      <c r="AN78" t="s">
        <v>155</v>
      </c>
      <c r="AT78" t="s">
        <v>431</v>
      </c>
      <c r="AV78" t="s">
        <v>598</v>
      </c>
      <c r="AW78" t="s">
        <v>676</v>
      </c>
      <c r="AX78" t="s">
        <v>756</v>
      </c>
      <c r="AY78" t="s">
        <v>187</v>
      </c>
      <c r="BC78" t="s">
        <v>1072</v>
      </c>
      <c r="BD78" t="s">
        <v>1631</v>
      </c>
      <c r="BM78" t="s">
        <v>2092</v>
      </c>
      <c r="BN78" t="s">
        <v>2290</v>
      </c>
    </row>
    <row r="79" spans="40:66" ht="14.4" x14ac:dyDescent="0.3">
      <c r="AN79" t="s">
        <v>156</v>
      </c>
      <c r="AT79" t="s">
        <v>432</v>
      </c>
      <c r="AV79" t="s">
        <v>599</v>
      </c>
      <c r="AW79" t="s">
        <v>677</v>
      </c>
      <c r="AX79" t="s">
        <v>757</v>
      </c>
      <c r="AY79" t="s">
        <v>871</v>
      </c>
      <c r="BC79" t="s">
        <v>1073</v>
      </c>
      <c r="BD79" t="s">
        <v>1632</v>
      </c>
      <c r="BM79" t="s">
        <v>2093</v>
      </c>
      <c r="BN79" t="s">
        <v>2291</v>
      </c>
    </row>
    <row r="80" spans="40:66" ht="14.4" x14ac:dyDescent="0.3">
      <c r="AN80" t="s">
        <v>157</v>
      </c>
      <c r="AT80" t="s">
        <v>433</v>
      </c>
      <c r="AV80" t="s">
        <v>600</v>
      </c>
      <c r="AW80" t="s">
        <v>678</v>
      </c>
      <c r="AX80" t="s">
        <v>226</v>
      </c>
      <c r="AY80" t="s">
        <v>872</v>
      </c>
      <c r="BC80" t="s">
        <v>1074</v>
      </c>
      <c r="BD80" t="s">
        <v>1633</v>
      </c>
      <c r="BM80" t="s">
        <v>2094</v>
      </c>
      <c r="BN80" t="s">
        <v>2292</v>
      </c>
    </row>
    <row r="81" spans="40:66" ht="14.4" x14ac:dyDescent="0.3">
      <c r="AN81" t="s">
        <v>158</v>
      </c>
      <c r="AT81" t="s">
        <v>434</v>
      </c>
      <c r="AV81" t="s">
        <v>601</v>
      </c>
      <c r="AW81" t="s">
        <v>679</v>
      </c>
      <c r="AX81" t="s">
        <v>758</v>
      </c>
      <c r="AY81" t="s">
        <v>873</v>
      </c>
      <c r="BC81" t="s">
        <v>1075</v>
      </c>
      <c r="BD81" t="s">
        <v>1634</v>
      </c>
      <c r="BM81" t="s">
        <v>2095</v>
      </c>
      <c r="BN81" t="s">
        <v>2293</v>
      </c>
    </row>
    <row r="82" spans="40:66" ht="14.4" x14ac:dyDescent="0.3">
      <c r="AN82" t="s">
        <v>159</v>
      </c>
      <c r="AT82" t="s">
        <v>435</v>
      </c>
      <c r="AV82" t="s">
        <v>602</v>
      </c>
      <c r="AW82" t="s">
        <v>680</v>
      </c>
      <c r="AX82" t="s">
        <v>759</v>
      </c>
      <c r="AY82" t="s">
        <v>874</v>
      </c>
      <c r="BC82" t="s">
        <v>1076</v>
      </c>
      <c r="BD82" t="s">
        <v>1635</v>
      </c>
      <c r="BM82" t="s">
        <v>2096</v>
      </c>
      <c r="BN82" t="s">
        <v>2294</v>
      </c>
    </row>
    <row r="83" spans="40:66" ht="14.4" x14ac:dyDescent="0.3">
      <c r="AN83" t="s">
        <v>160</v>
      </c>
      <c r="AT83" t="s">
        <v>436</v>
      </c>
      <c r="AW83" t="s">
        <v>681</v>
      </c>
      <c r="AX83" t="s">
        <v>760</v>
      </c>
      <c r="AY83" t="s">
        <v>875</v>
      </c>
      <c r="BC83" t="s">
        <v>1077</v>
      </c>
      <c r="BD83" t="s">
        <v>1636</v>
      </c>
      <c r="BM83" t="s">
        <v>2097</v>
      </c>
      <c r="BN83" t="s">
        <v>2295</v>
      </c>
    </row>
    <row r="84" spans="40:66" ht="14.4" x14ac:dyDescent="0.3">
      <c r="AN84" t="s">
        <v>161</v>
      </c>
      <c r="AT84" t="s">
        <v>437</v>
      </c>
      <c r="AW84" t="s">
        <v>682</v>
      </c>
      <c r="AX84" t="s">
        <v>761</v>
      </c>
      <c r="AY84" t="s">
        <v>876</v>
      </c>
      <c r="BC84" t="s">
        <v>1078</v>
      </c>
      <c r="BD84" t="s">
        <v>1637</v>
      </c>
      <c r="BM84" t="s">
        <v>2098</v>
      </c>
      <c r="BN84" t="s">
        <v>2296</v>
      </c>
    </row>
    <row r="85" spans="40:66" ht="14.4" x14ac:dyDescent="0.3">
      <c r="AN85" t="s">
        <v>162</v>
      </c>
      <c r="AT85" t="s">
        <v>438</v>
      </c>
      <c r="AW85" t="s">
        <v>683</v>
      </c>
      <c r="AX85" t="s">
        <v>762</v>
      </c>
      <c r="AY85" t="s">
        <v>877</v>
      </c>
      <c r="BC85" t="s">
        <v>1079</v>
      </c>
      <c r="BD85" t="s">
        <v>1638</v>
      </c>
      <c r="BM85" t="s">
        <v>2099</v>
      </c>
      <c r="BN85" t="s">
        <v>2297</v>
      </c>
    </row>
    <row r="86" spans="40:66" ht="14.4" x14ac:dyDescent="0.3">
      <c r="AN86" t="s">
        <v>163</v>
      </c>
      <c r="AT86" t="s">
        <v>439</v>
      </c>
      <c r="AX86" t="s">
        <v>763</v>
      </c>
      <c r="AY86" t="s">
        <v>878</v>
      </c>
      <c r="BC86" t="s">
        <v>1080</v>
      </c>
      <c r="BD86" t="s">
        <v>1639</v>
      </c>
      <c r="BM86" t="s">
        <v>2100</v>
      </c>
      <c r="BN86" t="s">
        <v>2298</v>
      </c>
    </row>
    <row r="87" spans="40:66" ht="14.4" x14ac:dyDescent="0.3">
      <c r="AN87" t="s">
        <v>164</v>
      </c>
      <c r="AT87" t="s">
        <v>440</v>
      </c>
      <c r="AX87" t="s">
        <v>764</v>
      </c>
      <c r="AY87" t="s">
        <v>879</v>
      </c>
      <c r="BC87" t="s">
        <v>1081</v>
      </c>
      <c r="BD87" t="s">
        <v>1640</v>
      </c>
      <c r="BM87" t="s">
        <v>2101</v>
      </c>
      <c r="BN87" t="s">
        <v>2299</v>
      </c>
    </row>
    <row r="88" spans="40:66" ht="14.4" x14ac:dyDescent="0.3">
      <c r="AN88" t="s">
        <v>165</v>
      </c>
      <c r="AT88" t="s">
        <v>441</v>
      </c>
      <c r="AX88" t="s">
        <v>765</v>
      </c>
      <c r="AY88" t="s">
        <v>880</v>
      </c>
      <c r="BC88" t="s">
        <v>1082</v>
      </c>
      <c r="BD88" t="s">
        <v>1641</v>
      </c>
      <c r="BM88" t="s">
        <v>2102</v>
      </c>
      <c r="BN88" t="s">
        <v>2300</v>
      </c>
    </row>
    <row r="89" spans="40:66" ht="14.4" x14ac:dyDescent="0.3">
      <c r="AN89" t="s">
        <v>166</v>
      </c>
      <c r="AT89" t="s">
        <v>442</v>
      </c>
      <c r="AX89" t="s">
        <v>766</v>
      </c>
      <c r="AY89" t="s">
        <v>881</v>
      </c>
      <c r="BC89" t="s">
        <v>1083</v>
      </c>
      <c r="BD89" t="s">
        <v>1642</v>
      </c>
      <c r="BM89" t="s">
        <v>2103</v>
      </c>
      <c r="BN89" t="s">
        <v>2301</v>
      </c>
    </row>
    <row r="90" spans="40:66" ht="14.4" x14ac:dyDescent="0.3">
      <c r="AN90" t="s">
        <v>167</v>
      </c>
      <c r="AT90" t="s">
        <v>443</v>
      </c>
      <c r="AX90" t="s">
        <v>767</v>
      </c>
      <c r="AY90" t="s">
        <v>882</v>
      </c>
      <c r="BC90" t="s">
        <v>1084</v>
      </c>
      <c r="BD90" t="s">
        <v>1643</v>
      </c>
      <c r="BM90" t="s">
        <v>2104</v>
      </c>
      <c r="BN90" t="s">
        <v>2302</v>
      </c>
    </row>
    <row r="91" spans="40:66" ht="14.4" x14ac:dyDescent="0.3">
      <c r="AN91" t="s">
        <v>168</v>
      </c>
      <c r="AT91" t="s">
        <v>444</v>
      </c>
      <c r="AX91" t="s">
        <v>768</v>
      </c>
      <c r="AY91" t="s">
        <v>883</v>
      </c>
      <c r="BC91" t="s">
        <v>1085</v>
      </c>
      <c r="BD91" t="s">
        <v>1644</v>
      </c>
      <c r="BM91" t="s">
        <v>2105</v>
      </c>
      <c r="BN91" t="s">
        <v>2303</v>
      </c>
    </row>
    <row r="92" spans="40:66" ht="14.4" x14ac:dyDescent="0.3">
      <c r="AN92" t="s">
        <v>169</v>
      </c>
      <c r="AT92" t="s">
        <v>445</v>
      </c>
      <c r="AX92" t="s">
        <v>769</v>
      </c>
      <c r="AY92" t="s">
        <v>884</v>
      </c>
      <c r="BC92" t="s">
        <v>1086</v>
      </c>
      <c r="BD92" t="s">
        <v>1645</v>
      </c>
      <c r="BM92" t="s">
        <v>2106</v>
      </c>
      <c r="BN92" t="s">
        <v>2304</v>
      </c>
    </row>
    <row r="93" spans="40:66" ht="14.4" x14ac:dyDescent="0.3">
      <c r="AN93" t="s">
        <v>170</v>
      </c>
      <c r="AT93" t="s">
        <v>446</v>
      </c>
      <c r="AX93" t="s">
        <v>770</v>
      </c>
      <c r="AY93" t="s">
        <v>885</v>
      </c>
      <c r="BC93" t="s">
        <v>1087</v>
      </c>
      <c r="BD93" t="s">
        <v>1646</v>
      </c>
      <c r="BM93" t="s">
        <v>2107</v>
      </c>
      <c r="BN93" t="s">
        <v>2305</v>
      </c>
    </row>
    <row r="94" spans="40:66" ht="14.4" x14ac:dyDescent="0.3">
      <c r="AN94" t="s">
        <v>171</v>
      </c>
      <c r="AT94" t="s">
        <v>447</v>
      </c>
      <c r="AX94" t="s">
        <v>771</v>
      </c>
      <c r="AY94" t="s">
        <v>886</v>
      </c>
      <c r="BC94" t="s">
        <v>1088</v>
      </c>
      <c r="BD94" t="s">
        <v>1647</v>
      </c>
      <c r="BM94" t="s">
        <v>403</v>
      </c>
      <c r="BN94" t="s">
        <v>2306</v>
      </c>
    </row>
    <row r="95" spans="40:66" ht="14.4" x14ac:dyDescent="0.3">
      <c r="AN95" t="s">
        <v>172</v>
      </c>
      <c r="AT95" t="s">
        <v>448</v>
      </c>
      <c r="AX95" t="s">
        <v>772</v>
      </c>
      <c r="AY95" t="s">
        <v>887</v>
      </c>
      <c r="BC95" t="s">
        <v>1089</v>
      </c>
      <c r="BD95" t="s">
        <v>1648</v>
      </c>
      <c r="BM95" t="s">
        <v>2108</v>
      </c>
      <c r="BN95" t="s">
        <v>2307</v>
      </c>
    </row>
    <row r="96" spans="40:66" ht="14.4" x14ac:dyDescent="0.3">
      <c r="AN96" t="s">
        <v>173</v>
      </c>
      <c r="AT96" t="s">
        <v>449</v>
      </c>
      <c r="AX96" t="s">
        <v>773</v>
      </c>
      <c r="AY96" t="s">
        <v>888</v>
      </c>
      <c r="BC96" t="s">
        <v>1090</v>
      </c>
      <c r="BD96" t="s">
        <v>1649</v>
      </c>
      <c r="BM96" t="s">
        <v>2109</v>
      </c>
      <c r="BN96" t="s">
        <v>2308</v>
      </c>
    </row>
    <row r="97" spans="40:66" ht="14.4" x14ac:dyDescent="0.3">
      <c r="AN97" t="s">
        <v>174</v>
      </c>
      <c r="AT97" t="s">
        <v>450</v>
      </c>
      <c r="AX97" t="s">
        <v>774</v>
      </c>
      <c r="AY97" t="s">
        <v>889</v>
      </c>
      <c r="BC97" t="s">
        <v>1091</v>
      </c>
      <c r="BD97" t="s">
        <v>1650</v>
      </c>
      <c r="BM97" t="s">
        <v>2110</v>
      </c>
      <c r="BN97" t="s">
        <v>2309</v>
      </c>
    </row>
    <row r="98" spans="40:66" ht="14.4" x14ac:dyDescent="0.3">
      <c r="AN98" t="s">
        <v>175</v>
      </c>
      <c r="AT98" t="s">
        <v>451</v>
      </c>
      <c r="AX98" t="s">
        <v>775</v>
      </c>
      <c r="AY98" t="s">
        <v>890</v>
      </c>
      <c r="BC98" t="s">
        <v>1092</v>
      </c>
      <c r="BD98" t="s">
        <v>1651</v>
      </c>
      <c r="BM98" t="s">
        <v>2111</v>
      </c>
      <c r="BN98" t="s">
        <v>2310</v>
      </c>
    </row>
    <row r="99" spans="40:66" ht="14.4" x14ac:dyDescent="0.3">
      <c r="AN99" t="s">
        <v>176</v>
      </c>
      <c r="AT99" t="s">
        <v>452</v>
      </c>
      <c r="AX99" t="s">
        <v>776</v>
      </c>
      <c r="AY99" t="s">
        <v>785</v>
      </c>
      <c r="BC99" t="s">
        <v>1093</v>
      </c>
      <c r="BD99" t="s">
        <v>1652</v>
      </c>
      <c r="BM99" t="s">
        <v>735</v>
      </c>
      <c r="BN99" t="s">
        <v>2311</v>
      </c>
    </row>
    <row r="100" spans="40:66" ht="14.4" x14ac:dyDescent="0.3">
      <c r="AN100" t="s">
        <v>177</v>
      </c>
      <c r="AT100" t="s">
        <v>453</v>
      </c>
      <c r="AX100" t="s">
        <v>777</v>
      </c>
      <c r="AY100" t="s">
        <v>891</v>
      </c>
      <c r="BC100" t="s">
        <v>1094</v>
      </c>
      <c r="BD100" t="s">
        <v>1653</v>
      </c>
      <c r="BM100" t="s">
        <v>2112</v>
      </c>
      <c r="BN100" t="s">
        <v>2312</v>
      </c>
    </row>
    <row r="101" spans="40:66" ht="14.4" x14ac:dyDescent="0.3">
      <c r="AN101" t="s">
        <v>178</v>
      </c>
      <c r="AT101" t="s">
        <v>454</v>
      </c>
      <c r="AX101" t="s">
        <v>778</v>
      </c>
      <c r="AY101" t="s">
        <v>892</v>
      </c>
      <c r="BC101" t="s">
        <v>1095</v>
      </c>
      <c r="BD101" t="s">
        <v>1654</v>
      </c>
      <c r="BM101" t="s">
        <v>2113</v>
      </c>
      <c r="BN101" t="s">
        <v>2313</v>
      </c>
    </row>
    <row r="102" spans="40:66" ht="14.4" x14ac:dyDescent="0.3">
      <c r="AN102" t="s">
        <v>179</v>
      </c>
      <c r="AT102" t="s">
        <v>455</v>
      </c>
      <c r="AX102" t="s">
        <v>174</v>
      </c>
      <c r="AY102" t="s">
        <v>893</v>
      </c>
      <c r="BC102" t="s">
        <v>1096</v>
      </c>
      <c r="BD102" t="s">
        <v>1655</v>
      </c>
      <c r="BM102" t="s">
        <v>2114</v>
      </c>
      <c r="BN102" t="s">
        <v>2314</v>
      </c>
    </row>
    <row r="103" spans="40:66" ht="14.4" x14ac:dyDescent="0.3">
      <c r="AN103" t="s">
        <v>180</v>
      </c>
      <c r="AT103" t="s">
        <v>456</v>
      </c>
      <c r="AX103" t="s">
        <v>779</v>
      </c>
      <c r="AY103" t="s">
        <v>894</v>
      </c>
      <c r="BC103" t="s">
        <v>1097</v>
      </c>
      <c r="BD103" t="s">
        <v>1656</v>
      </c>
      <c r="BM103" t="s">
        <v>2115</v>
      </c>
      <c r="BN103" t="s">
        <v>2315</v>
      </c>
    </row>
    <row r="104" spans="40:66" ht="14.4" x14ac:dyDescent="0.3">
      <c r="AN104" t="s">
        <v>181</v>
      </c>
      <c r="AT104" t="s">
        <v>457</v>
      </c>
      <c r="AX104" t="s">
        <v>780</v>
      </c>
      <c r="AY104" t="s">
        <v>183</v>
      </c>
      <c r="BC104" t="s">
        <v>1098</v>
      </c>
      <c r="BD104" t="s">
        <v>1657</v>
      </c>
      <c r="BM104" t="s">
        <v>2116</v>
      </c>
      <c r="BN104" t="s">
        <v>2316</v>
      </c>
    </row>
    <row r="105" spans="40:66" ht="14.4" x14ac:dyDescent="0.3">
      <c r="AN105" t="s">
        <v>182</v>
      </c>
      <c r="AT105" t="s">
        <v>458</v>
      </c>
      <c r="AX105" t="s">
        <v>781</v>
      </c>
      <c r="AY105" t="s">
        <v>895</v>
      </c>
      <c r="BC105" t="s">
        <v>1099</v>
      </c>
      <c r="BD105" t="s">
        <v>1658</v>
      </c>
      <c r="BM105" t="s">
        <v>2117</v>
      </c>
      <c r="BN105" t="s">
        <v>2317</v>
      </c>
    </row>
    <row r="106" spans="40:66" ht="14.4" x14ac:dyDescent="0.3">
      <c r="AN106" t="s">
        <v>183</v>
      </c>
      <c r="AT106" t="s">
        <v>459</v>
      </c>
      <c r="AX106" t="s">
        <v>782</v>
      </c>
      <c r="AY106" t="s">
        <v>896</v>
      </c>
      <c r="BC106" t="s">
        <v>1100</v>
      </c>
      <c r="BD106" t="s">
        <v>138</v>
      </c>
      <c r="BM106" t="s">
        <v>2118</v>
      </c>
      <c r="BN106" t="s">
        <v>2318</v>
      </c>
    </row>
    <row r="107" spans="40:66" ht="14.4" x14ac:dyDescent="0.3">
      <c r="AN107" t="s">
        <v>184</v>
      </c>
      <c r="AT107" t="s">
        <v>460</v>
      </c>
      <c r="AX107" t="s">
        <v>783</v>
      </c>
      <c r="AY107" t="s">
        <v>897</v>
      </c>
      <c r="BC107" t="s">
        <v>1101</v>
      </c>
      <c r="BD107" t="s">
        <v>1659</v>
      </c>
      <c r="BM107" t="s">
        <v>2119</v>
      </c>
      <c r="BN107" t="s">
        <v>2319</v>
      </c>
    </row>
    <row r="108" spans="40:66" ht="14.4" x14ac:dyDescent="0.3">
      <c r="AN108" t="s">
        <v>185</v>
      </c>
      <c r="AT108" t="s">
        <v>461</v>
      </c>
      <c r="AX108" t="s">
        <v>784</v>
      </c>
      <c r="AY108" t="s">
        <v>898</v>
      </c>
      <c r="BC108" t="s">
        <v>1102</v>
      </c>
      <c r="BD108" t="s">
        <v>1660</v>
      </c>
      <c r="BM108" t="s">
        <v>2120</v>
      </c>
    </row>
    <row r="109" spans="40:66" ht="14.4" x14ac:dyDescent="0.3">
      <c r="AN109" t="s">
        <v>186</v>
      </c>
      <c r="AT109" t="s">
        <v>462</v>
      </c>
      <c r="AX109" t="s">
        <v>785</v>
      </c>
      <c r="AY109" t="s">
        <v>899</v>
      </c>
      <c r="BC109" t="s">
        <v>1103</v>
      </c>
      <c r="BD109" t="s">
        <v>1661</v>
      </c>
      <c r="BM109" t="s">
        <v>319</v>
      </c>
    </row>
    <row r="110" spans="40:66" ht="14.4" x14ac:dyDescent="0.3">
      <c r="AN110" t="s">
        <v>187</v>
      </c>
      <c r="AT110" t="s">
        <v>463</v>
      </c>
      <c r="AX110" t="s">
        <v>786</v>
      </c>
      <c r="AY110" t="s">
        <v>900</v>
      </c>
      <c r="BC110" t="s">
        <v>1104</v>
      </c>
      <c r="BD110" t="s">
        <v>1662</v>
      </c>
      <c r="BM110" t="s">
        <v>2121</v>
      </c>
    </row>
    <row r="111" spans="40:66" ht="14.4" x14ac:dyDescent="0.3">
      <c r="AN111" t="s">
        <v>188</v>
      </c>
      <c r="AT111" t="s">
        <v>464</v>
      </c>
      <c r="AX111" t="s">
        <v>787</v>
      </c>
      <c r="AY111" t="s">
        <v>901</v>
      </c>
      <c r="BC111" t="s">
        <v>1105</v>
      </c>
      <c r="BD111" t="s">
        <v>1663</v>
      </c>
      <c r="BM111" t="s">
        <v>2122</v>
      </c>
    </row>
    <row r="112" spans="40:66" ht="14.4" x14ac:dyDescent="0.3">
      <c r="AN112" t="s">
        <v>189</v>
      </c>
      <c r="AT112" t="s">
        <v>465</v>
      </c>
      <c r="AX112" t="s">
        <v>788</v>
      </c>
      <c r="AY112" t="s">
        <v>902</v>
      </c>
      <c r="BC112" t="s">
        <v>1106</v>
      </c>
      <c r="BD112" t="s">
        <v>145</v>
      </c>
      <c r="BM112" t="s">
        <v>2123</v>
      </c>
    </row>
    <row r="113" spans="40:65" ht="14.4" x14ac:dyDescent="0.3">
      <c r="AN113" t="s">
        <v>190</v>
      </c>
      <c r="AT113" t="s">
        <v>466</v>
      </c>
      <c r="AX113" t="s">
        <v>789</v>
      </c>
      <c r="AY113" t="s">
        <v>903</v>
      </c>
      <c r="BC113" t="s">
        <v>1107</v>
      </c>
      <c r="BD113" t="s">
        <v>1664</v>
      </c>
      <c r="BM113" t="s">
        <v>2124</v>
      </c>
    </row>
    <row r="114" spans="40:65" ht="14.4" x14ac:dyDescent="0.3">
      <c r="AN114" t="s">
        <v>191</v>
      </c>
      <c r="AT114" t="s">
        <v>467</v>
      </c>
      <c r="AX114" t="s">
        <v>790</v>
      </c>
      <c r="AY114" t="s">
        <v>904</v>
      </c>
      <c r="BC114" t="s">
        <v>1108</v>
      </c>
      <c r="BD114" t="s">
        <v>1665</v>
      </c>
      <c r="BM114" t="s">
        <v>2125</v>
      </c>
    </row>
    <row r="115" spans="40:65" ht="14.4" x14ac:dyDescent="0.3">
      <c r="AN115" t="s">
        <v>192</v>
      </c>
      <c r="AT115" t="s">
        <v>468</v>
      </c>
      <c r="AX115" t="s">
        <v>791</v>
      </c>
      <c r="BC115" t="s">
        <v>1109</v>
      </c>
      <c r="BD115" t="s">
        <v>1666</v>
      </c>
      <c r="BM115" t="s">
        <v>2126</v>
      </c>
    </row>
    <row r="116" spans="40:65" ht="14.4" x14ac:dyDescent="0.3">
      <c r="AN116" t="s">
        <v>193</v>
      </c>
      <c r="AT116" t="s">
        <v>469</v>
      </c>
      <c r="AX116" t="s">
        <v>467</v>
      </c>
      <c r="BC116" t="s">
        <v>1110</v>
      </c>
      <c r="BD116" t="s">
        <v>1667</v>
      </c>
      <c r="BM116" t="s">
        <v>1900</v>
      </c>
    </row>
    <row r="117" spans="40:65" ht="14.4" x14ac:dyDescent="0.3">
      <c r="AN117" t="s">
        <v>194</v>
      </c>
      <c r="AT117" t="s">
        <v>470</v>
      </c>
      <c r="AX117" t="s">
        <v>792</v>
      </c>
      <c r="BC117" t="s">
        <v>1111</v>
      </c>
      <c r="BD117" t="s">
        <v>1668</v>
      </c>
      <c r="BM117" t="s">
        <v>2127</v>
      </c>
    </row>
    <row r="118" spans="40:65" ht="14.4" x14ac:dyDescent="0.3">
      <c r="AN118" t="s">
        <v>195</v>
      </c>
      <c r="AT118" t="s">
        <v>471</v>
      </c>
      <c r="AX118" t="s">
        <v>793</v>
      </c>
      <c r="BC118" t="s">
        <v>1112</v>
      </c>
      <c r="BD118" t="s">
        <v>1669</v>
      </c>
      <c r="BM118" t="s">
        <v>2128</v>
      </c>
    </row>
    <row r="119" spans="40:65" ht="14.4" x14ac:dyDescent="0.3">
      <c r="AN119" t="s">
        <v>196</v>
      </c>
      <c r="AT119" t="s">
        <v>472</v>
      </c>
      <c r="AX119" t="s">
        <v>794</v>
      </c>
      <c r="BC119" t="s">
        <v>1113</v>
      </c>
      <c r="BD119" t="s">
        <v>1670</v>
      </c>
      <c r="BM119" t="s">
        <v>2129</v>
      </c>
    </row>
    <row r="120" spans="40:65" ht="14.4" x14ac:dyDescent="0.3">
      <c r="AN120" t="s">
        <v>197</v>
      </c>
      <c r="AT120" t="s">
        <v>473</v>
      </c>
      <c r="AX120" t="s">
        <v>795</v>
      </c>
      <c r="BC120" t="s">
        <v>1114</v>
      </c>
      <c r="BD120" t="s">
        <v>1671</v>
      </c>
      <c r="BM120" t="s">
        <v>2130</v>
      </c>
    </row>
    <row r="121" spans="40:65" ht="14.4" x14ac:dyDescent="0.3">
      <c r="AN121" t="s">
        <v>198</v>
      </c>
      <c r="AT121" t="s">
        <v>474</v>
      </c>
      <c r="AX121" t="s">
        <v>796</v>
      </c>
      <c r="BC121" t="s">
        <v>1115</v>
      </c>
      <c r="BD121" t="s">
        <v>1672</v>
      </c>
      <c r="BM121" t="s">
        <v>2131</v>
      </c>
    </row>
    <row r="122" spans="40:65" ht="14.4" x14ac:dyDescent="0.3">
      <c r="AN122" t="s">
        <v>199</v>
      </c>
      <c r="AT122" t="s">
        <v>475</v>
      </c>
      <c r="AX122" t="s">
        <v>797</v>
      </c>
      <c r="BC122" t="s">
        <v>1116</v>
      </c>
      <c r="BD122" t="s">
        <v>1673</v>
      </c>
      <c r="BM122" t="s">
        <v>2132</v>
      </c>
    </row>
    <row r="123" spans="40:65" ht="14.4" x14ac:dyDescent="0.3">
      <c r="AN123" t="s">
        <v>200</v>
      </c>
      <c r="AT123" t="s">
        <v>476</v>
      </c>
      <c r="AX123" t="s">
        <v>798</v>
      </c>
      <c r="BC123" t="s">
        <v>1117</v>
      </c>
      <c r="BD123" t="s">
        <v>1674</v>
      </c>
      <c r="BM123" t="s">
        <v>2133</v>
      </c>
    </row>
    <row r="124" spans="40:65" ht="14.4" x14ac:dyDescent="0.3">
      <c r="AN124" t="s">
        <v>201</v>
      </c>
      <c r="AT124" t="s">
        <v>477</v>
      </c>
      <c r="AX124" t="s">
        <v>799</v>
      </c>
      <c r="BC124" t="s">
        <v>1118</v>
      </c>
      <c r="BD124" t="s">
        <v>1675</v>
      </c>
      <c r="BM124" t="s">
        <v>2134</v>
      </c>
    </row>
    <row r="125" spans="40:65" ht="14.4" x14ac:dyDescent="0.3">
      <c r="AN125" t="s">
        <v>202</v>
      </c>
      <c r="AT125" t="s">
        <v>478</v>
      </c>
      <c r="AX125" t="s">
        <v>800</v>
      </c>
      <c r="BC125" t="s">
        <v>1119</v>
      </c>
      <c r="BD125" t="s">
        <v>1676</v>
      </c>
      <c r="BM125" t="s">
        <v>2135</v>
      </c>
    </row>
    <row r="126" spans="40:65" ht="14.4" x14ac:dyDescent="0.3">
      <c r="AT126" t="s">
        <v>479</v>
      </c>
      <c r="AX126" t="s">
        <v>801</v>
      </c>
      <c r="BC126" t="s">
        <v>1120</v>
      </c>
      <c r="BD126" t="s">
        <v>1677</v>
      </c>
      <c r="BM126" t="s">
        <v>2136</v>
      </c>
    </row>
    <row r="127" spans="40:65" ht="14.4" x14ac:dyDescent="0.3">
      <c r="BC127" t="s">
        <v>1121</v>
      </c>
      <c r="BD127" t="s">
        <v>1678</v>
      </c>
      <c r="BM127" t="s">
        <v>2137</v>
      </c>
    </row>
    <row r="128" spans="40:65" ht="14.4" x14ac:dyDescent="0.3">
      <c r="BC128" t="s">
        <v>1122</v>
      </c>
      <c r="BD128" t="s">
        <v>1679</v>
      </c>
      <c r="BM128" t="s">
        <v>2138</v>
      </c>
    </row>
    <row r="129" spans="55:65" ht="14.4" x14ac:dyDescent="0.3">
      <c r="BC129" t="s">
        <v>1123</v>
      </c>
      <c r="BD129" t="s">
        <v>1680</v>
      </c>
      <c r="BM129" t="s">
        <v>2139</v>
      </c>
    </row>
    <row r="130" spans="55:65" ht="14.4" x14ac:dyDescent="0.3">
      <c r="BC130" t="s">
        <v>1124</v>
      </c>
      <c r="BD130" t="s">
        <v>1681</v>
      </c>
      <c r="BM130" t="s">
        <v>2140</v>
      </c>
    </row>
    <row r="131" spans="55:65" ht="14.4" x14ac:dyDescent="0.3">
      <c r="BC131" t="s">
        <v>1125</v>
      </c>
      <c r="BD131" t="s">
        <v>1682</v>
      </c>
      <c r="BM131" t="s">
        <v>2141</v>
      </c>
    </row>
    <row r="132" spans="55:65" ht="14.4" x14ac:dyDescent="0.3">
      <c r="BC132" t="s">
        <v>1126</v>
      </c>
      <c r="BD132" t="s">
        <v>1683</v>
      </c>
      <c r="BM132" t="s">
        <v>2142</v>
      </c>
    </row>
    <row r="133" spans="55:65" ht="14.4" x14ac:dyDescent="0.3">
      <c r="BC133" t="s">
        <v>1127</v>
      </c>
      <c r="BD133" t="s">
        <v>1684</v>
      </c>
      <c r="BM133" t="s">
        <v>2143</v>
      </c>
    </row>
    <row r="134" spans="55:65" ht="14.4" x14ac:dyDescent="0.3">
      <c r="BC134" t="s">
        <v>1128</v>
      </c>
      <c r="BD134" t="s">
        <v>1685</v>
      </c>
      <c r="BM134" t="s">
        <v>2144</v>
      </c>
    </row>
    <row r="135" spans="55:65" ht="14.4" x14ac:dyDescent="0.3">
      <c r="BC135" t="s">
        <v>1129</v>
      </c>
      <c r="BD135" t="s">
        <v>1686</v>
      </c>
      <c r="BM135" t="s">
        <v>2145</v>
      </c>
    </row>
    <row r="136" spans="55:65" ht="14.4" x14ac:dyDescent="0.3">
      <c r="BC136" t="s">
        <v>1130</v>
      </c>
      <c r="BD136" t="s">
        <v>1687</v>
      </c>
      <c r="BM136" t="s">
        <v>2146</v>
      </c>
    </row>
    <row r="137" spans="55:65" ht="14.4" x14ac:dyDescent="0.3">
      <c r="BC137" t="s">
        <v>1131</v>
      </c>
      <c r="BD137" t="s">
        <v>1688</v>
      </c>
      <c r="BM137" t="s">
        <v>2147</v>
      </c>
    </row>
    <row r="138" spans="55:65" ht="14.4" x14ac:dyDescent="0.3">
      <c r="BC138" t="s">
        <v>1132</v>
      </c>
      <c r="BD138" t="s">
        <v>1689</v>
      </c>
      <c r="BM138" t="s">
        <v>869</v>
      </c>
    </row>
    <row r="139" spans="55:65" ht="14.4" x14ac:dyDescent="0.3">
      <c r="BC139" t="s">
        <v>1133</v>
      </c>
      <c r="BD139" t="s">
        <v>1690</v>
      </c>
      <c r="BM139" t="s">
        <v>2148</v>
      </c>
    </row>
    <row r="140" spans="55:65" ht="14.4" x14ac:dyDescent="0.3">
      <c r="BC140" t="s">
        <v>1134</v>
      </c>
      <c r="BD140" t="s">
        <v>1691</v>
      </c>
      <c r="BM140" t="s">
        <v>2149</v>
      </c>
    </row>
    <row r="141" spans="55:65" ht="14.4" x14ac:dyDescent="0.3">
      <c r="BC141" t="s">
        <v>1135</v>
      </c>
      <c r="BD141" t="s">
        <v>1692</v>
      </c>
      <c r="BM141" t="s">
        <v>2150</v>
      </c>
    </row>
    <row r="142" spans="55:65" ht="14.4" x14ac:dyDescent="0.3">
      <c r="BC142" t="s">
        <v>1136</v>
      </c>
      <c r="BD142" t="s">
        <v>1693</v>
      </c>
      <c r="BM142" t="s">
        <v>2151</v>
      </c>
    </row>
    <row r="143" spans="55:65" ht="14.4" x14ac:dyDescent="0.3">
      <c r="BC143" t="s">
        <v>1137</v>
      </c>
      <c r="BD143" t="s">
        <v>1694</v>
      </c>
      <c r="BM143" t="s">
        <v>2152</v>
      </c>
    </row>
    <row r="144" spans="55:65" ht="14.4" x14ac:dyDescent="0.3">
      <c r="BC144" t="s">
        <v>1138</v>
      </c>
      <c r="BD144" t="s">
        <v>1695</v>
      </c>
      <c r="BM144" t="s">
        <v>2153</v>
      </c>
    </row>
    <row r="145" spans="55:65" ht="14.4" x14ac:dyDescent="0.3">
      <c r="BC145" t="s">
        <v>1139</v>
      </c>
      <c r="BD145" t="s">
        <v>1696</v>
      </c>
      <c r="BM145" t="s">
        <v>2154</v>
      </c>
    </row>
    <row r="146" spans="55:65" ht="14.4" x14ac:dyDescent="0.3">
      <c r="BC146" t="s">
        <v>1140</v>
      </c>
      <c r="BD146" t="s">
        <v>1697</v>
      </c>
      <c r="BM146" t="s">
        <v>2155</v>
      </c>
    </row>
    <row r="147" spans="55:65" ht="14.4" x14ac:dyDescent="0.3">
      <c r="BC147" t="s">
        <v>1141</v>
      </c>
      <c r="BD147" t="s">
        <v>1698</v>
      </c>
      <c r="BM147" t="s">
        <v>2156</v>
      </c>
    </row>
    <row r="148" spans="55:65" ht="14.4" x14ac:dyDescent="0.3">
      <c r="BC148" t="s">
        <v>1142</v>
      </c>
      <c r="BD148" t="s">
        <v>1699</v>
      </c>
      <c r="BM148" t="s">
        <v>2157</v>
      </c>
    </row>
    <row r="149" spans="55:65" ht="14.4" x14ac:dyDescent="0.3">
      <c r="BC149" t="s">
        <v>1143</v>
      </c>
      <c r="BD149" t="s">
        <v>1700</v>
      </c>
      <c r="BM149" t="s">
        <v>2158</v>
      </c>
    </row>
    <row r="150" spans="55:65" ht="14.4" x14ac:dyDescent="0.3">
      <c r="BC150" t="s">
        <v>1144</v>
      </c>
      <c r="BD150" t="s">
        <v>1701</v>
      </c>
      <c r="BM150" t="s">
        <v>2159</v>
      </c>
    </row>
    <row r="151" spans="55:65" ht="14.4" x14ac:dyDescent="0.3">
      <c r="BC151" t="s">
        <v>1145</v>
      </c>
      <c r="BD151" t="s">
        <v>1702</v>
      </c>
      <c r="BM151" t="s">
        <v>2160</v>
      </c>
    </row>
    <row r="152" spans="55:65" ht="14.4" x14ac:dyDescent="0.3">
      <c r="BC152" t="s">
        <v>1146</v>
      </c>
      <c r="BD152" t="s">
        <v>1703</v>
      </c>
      <c r="BM152" t="s">
        <v>2161</v>
      </c>
    </row>
    <row r="153" spans="55:65" ht="14.4" x14ac:dyDescent="0.3">
      <c r="BC153" t="s">
        <v>1147</v>
      </c>
      <c r="BD153" t="s">
        <v>1704</v>
      </c>
      <c r="BM153" t="s">
        <v>2162</v>
      </c>
    </row>
    <row r="154" spans="55:65" ht="14.4" x14ac:dyDescent="0.3">
      <c r="BC154" t="s">
        <v>1148</v>
      </c>
      <c r="BD154" t="s">
        <v>1705</v>
      </c>
      <c r="BM154" t="s">
        <v>2163</v>
      </c>
    </row>
    <row r="155" spans="55:65" ht="14.4" x14ac:dyDescent="0.3">
      <c r="BC155" t="s">
        <v>1149</v>
      </c>
      <c r="BD155" t="s">
        <v>1706</v>
      </c>
      <c r="BM155" t="s">
        <v>2164</v>
      </c>
    </row>
    <row r="156" spans="55:65" ht="14.4" x14ac:dyDescent="0.3">
      <c r="BC156" t="s">
        <v>1150</v>
      </c>
      <c r="BD156" t="s">
        <v>1707</v>
      </c>
      <c r="BM156" t="s">
        <v>2165</v>
      </c>
    </row>
    <row r="157" spans="55:65" ht="14.4" x14ac:dyDescent="0.3">
      <c r="BC157" t="s">
        <v>1151</v>
      </c>
      <c r="BD157" t="s">
        <v>1708</v>
      </c>
      <c r="BM157" t="s">
        <v>2166</v>
      </c>
    </row>
    <row r="158" spans="55:65" ht="14.4" x14ac:dyDescent="0.3">
      <c r="BC158" t="s">
        <v>1152</v>
      </c>
      <c r="BD158" t="s">
        <v>1709</v>
      </c>
      <c r="BM158" t="s">
        <v>2167</v>
      </c>
    </row>
    <row r="159" spans="55:65" ht="14.4" x14ac:dyDescent="0.3">
      <c r="BC159" t="s">
        <v>1153</v>
      </c>
      <c r="BD159" t="s">
        <v>1710</v>
      </c>
      <c r="BM159" t="s">
        <v>2168</v>
      </c>
    </row>
    <row r="160" spans="55:65" ht="14.4" x14ac:dyDescent="0.3">
      <c r="BC160" t="s">
        <v>1154</v>
      </c>
      <c r="BD160" t="s">
        <v>1711</v>
      </c>
      <c r="BM160" t="s">
        <v>2169</v>
      </c>
    </row>
    <row r="161" spans="55:65" ht="14.4" x14ac:dyDescent="0.3">
      <c r="BC161" t="s">
        <v>1155</v>
      </c>
      <c r="BD161" t="s">
        <v>1712</v>
      </c>
      <c r="BM161" t="s">
        <v>2170</v>
      </c>
    </row>
    <row r="162" spans="55:65" ht="14.4" x14ac:dyDescent="0.3">
      <c r="BC162" t="s">
        <v>1156</v>
      </c>
      <c r="BD162" t="s">
        <v>1713</v>
      </c>
      <c r="BM162" t="s">
        <v>2171</v>
      </c>
    </row>
    <row r="163" spans="55:65" ht="14.4" x14ac:dyDescent="0.3">
      <c r="BC163" t="s">
        <v>1157</v>
      </c>
      <c r="BD163" t="s">
        <v>1714</v>
      </c>
      <c r="BM163" t="s">
        <v>2172</v>
      </c>
    </row>
    <row r="164" spans="55:65" ht="14.4" x14ac:dyDescent="0.3">
      <c r="BC164" t="s">
        <v>1158</v>
      </c>
      <c r="BD164" t="s">
        <v>1715</v>
      </c>
      <c r="BM164" t="s">
        <v>2173</v>
      </c>
    </row>
    <row r="165" spans="55:65" ht="14.4" x14ac:dyDescent="0.3">
      <c r="BC165" t="s">
        <v>1159</v>
      </c>
      <c r="BD165" t="s">
        <v>1716</v>
      </c>
      <c r="BM165" t="s">
        <v>2174</v>
      </c>
    </row>
    <row r="166" spans="55:65" ht="14.4" x14ac:dyDescent="0.3">
      <c r="BC166" t="s">
        <v>1160</v>
      </c>
      <c r="BD166" t="s">
        <v>1717</v>
      </c>
      <c r="BM166" t="s">
        <v>2175</v>
      </c>
    </row>
    <row r="167" spans="55:65" ht="14.4" x14ac:dyDescent="0.3">
      <c r="BC167" t="s">
        <v>1161</v>
      </c>
      <c r="BD167" t="s">
        <v>1718</v>
      </c>
      <c r="BM167" t="s">
        <v>2176</v>
      </c>
    </row>
    <row r="168" spans="55:65" ht="14.4" x14ac:dyDescent="0.3">
      <c r="BC168" t="s">
        <v>1162</v>
      </c>
      <c r="BD168" t="s">
        <v>1719</v>
      </c>
      <c r="BM168" t="s">
        <v>1719</v>
      </c>
    </row>
    <row r="169" spans="55:65" ht="14.4" x14ac:dyDescent="0.3">
      <c r="BC169" t="s">
        <v>1163</v>
      </c>
      <c r="BD169" t="s">
        <v>1720</v>
      </c>
      <c r="BM169" t="s">
        <v>772</v>
      </c>
    </row>
    <row r="170" spans="55:65" ht="14.4" x14ac:dyDescent="0.3">
      <c r="BC170" t="s">
        <v>1164</v>
      </c>
      <c r="BD170" t="s">
        <v>1721</v>
      </c>
      <c r="BM170" t="s">
        <v>2177</v>
      </c>
    </row>
    <row r="171" spans="55:65" ht="14.4" x14ac:dyDescent="0.3">
      <c r="BC171" t="s">
        <v>1165</v>
      </c>
      <c r="BD171" t="s">
        <v>1722</v>
      </c>
      <c r="BM171" t="s">
        <v>2178</v>
      </c>
    </row>
    <row r="172" spans="55:65" ht="14.4" x14ac:dyDescent="0.3">
      <c r="BC172" t="s">
        <v>1166</v>
      </c>
      <c r="BD172" t="s">
        <v>1723</v>
      </c>
      <c r="BM172" t="s">
        <v>2179</v>
      </c>
    </row>
    <row r="173" spans="55:65" ht="14.4" x14ac:dyDescent="0.3">
      <c r="BC173" t="s">
        <v>1167</v>
      </c>
      <c r="BD173" t="s">
        <v>1724</v>
      </c>
      <c r="BM173" t="s">
        <v>2180</v>
      </c>
    </row>
    <row r="174" spans="55:65" ht="14.4" x14ac:dyDescent="0.3">
      <c r="BC174" t="s">
        <v>1168</v>
      </c>
      <c r="BD174" t="s">
        <v>1725</v>
      </c>
      <c r="BM174" t="s">
        <v>2181</v>
      </c>
    </row>
    <row r="175" spans="55:65" ht="14.4" x14ac:dyDescent="0.3">
      <c r="BC175" t="s">
        <v>1169</v>
      </c>
      <c r="BD175" t="s">
        <v>1726</v>
      </c>
      <c r="BM175" t="s">
        <v>516</v>
      </c>
    </row>
    <row r="176" spans="55:65" ht="14.4" x14ac:dyDescent="0.3">
      <c r="BC176" t="s">
        <v>1170</v>
      </c>
      <c r="BD176" t="s">
        <v>1727</v>
      </c>
      <c r="BM176" t="s">
        <v>2182</v>
      </c>
    </row>
    <row r="177" spans="55:65" ht="14.4" x14ac:dyDescent="0.3">
      <c r="BC177" t="s">
        <v>1171</v>
      </c>
      <c r="BD177" t="s">
        <v>1728</v>
      </c>
      <c r="BM177" t="s">
        <v>2183</v>
      </c>
    </row>
    <row r="178" spans="55:65" ht="14.4" x14ac:dyDescent="0.3">
      <c r="BC178" t="s">
        <v>1172</v>
      </c>
      <c r="BD178" t="s">
        <v>1729</v>
      </c>
      <c r="BM178" t="s">
        <v>2184</v>
      </c>
    </row>
    <row r="179" spans="55:65" ht="14.4" x14ac:dyDescent="0.3">
      <c r="BC179" t="s">
        <v>1173</v>
      </c>
      <c r="BD179" t="s">
        <v>1730</v>
      </c>
      <c r="BM179" t="s">
        <v>2185</v>
      </c>
    </row>
    <row r="180" spans="55:65" ht="14.4" x14ac:dyDescent="0.3">
      <c r="BC180" t="s">
        <v>1174</v>
      </c>
      <c r="BD180" t="s">
        <v>1731</v>
      </c>
      <c r="BM180" t="s">
        <v>2186</v>
      </c>
    </row>
    <row r="181" spans="55:65" ht="14.4" x14ac:dyDescent="0.3">
      <c r="BC181" t="s">
        <v>1175</v>
      </c>
      <c r="BD181" t="s">
        <v>1732</v>
      </c>
      <c r="BM181" t="s">
        <v>2187</v>
      </c>
    </row>
    <row r="182" spans="55:65" ht="14.4" x14ac:dyDescent="0.3">
      <c r="BC182" t="s">
        <v>1176</v>
      </c>
      <c r="BD182" t="s">
        <v>1733</v>
      </c>
      <c r="BM182" t="s">
        <v>2188</v>
      </c>
    </row>
    <row r="183" spans="55:65" ht="14.4" x14ac:dyDescent="0.3">
      <c r="BC183" t="s">
        <v>1177</v>
      </c>
      <c r="BD183" t="s">
        <v>1734</v>
      </c>
      <c r="BM183" t="s">
        <v>2189</v>
      </c>
    </row>
    <row r="184" spans="55:65" ht="14.4" x14ac:dyDescent="0.3">
      <c r="BC184" t="s">
        <v>1178</v>
      </c>
      <c r="BD184" t="s">
        <v>1735</v>
      </c>
      <c r="BM184" t="s">
        <v>2190</v>
      </c>
    </row>
    <row r="185" spans="55:65" ht="14.4" x14ac:dyDescent="0.3">
      <c r="BC185" t="s">
        <v>1179</v>
      </c>
      <c r="BD185" t="s">
        <v>1736</v>
      </c>
      <c r="BM185" t="s">
        <v>2191</v>
      </c>
    </row>
    <row r="186" spans="55:65" ht="14.4" x14ac:dyDescent="0.3">
      <c r="BC186" t="s">
        <v>1180</v>
      </c>
      <c r="BD186" t="s">
        <v>1737</v>
      </c>
      <c r="BM186" t="s">
        <v>2192</v>
      </c>
    </row>
    <row r="187" spans="55:65" ht="14.4" x14ac:dyDescent="0.3">
      <c r="BC187" t="s">
        <v>1181</v>
      </c>
      <c r="BD187" t="s">
        <v>1738</v>
      </c>
      <c r="BM187" t="s">
        <v>778</v>
      </c>
    </row>
    <row r="188" spans="55:65" ht="14.4" x14ac:dyDescent="0.3">
      <c r="BC188" t="s">
        <v>1182</v>
      </c>
      <c r="BD188" t="s">
        <v>1739</v>
      </c>
      <c r="BM188" t="s">
        <v>2193</v>
      </c>
    </row>
    <row r="189" spans="55:65" ht="14.4" x14ac:dyDescent="0.3">
      <c r="BC189" t="s">
        <v>1183</v>
      </c>
      <c r="BD189" t="s">
        <v>1740</v>
      </c>
      <c r="BM189" t="s">
        <v>2194</v>
      </c>
    </row>
    <row r="190" spans="55:65" ht="14.4" x14ac:dyDescent="0.3">
      <c r="BC190" t="s">
        <v>1184</v>
      </c>
      <c r="BD190" t="s">
        <v>1741</v>
      </c>
      <c r="BM190" t="s">
        <v>785</v>
      </c>
    </row>
    <row r="191" spans="55:65" ht="14.4" x14ac:dyDescent="0.3">
      <c r="BC191" t="s">
        <v>1185</v>
      </c>
      <c r="BD191" t="s">
        <v>1742</v>
      </c>
      <c r="BM191" t="s">
        <v>2195</v>
      </c>
    </row>
    <row r="192" spans="55:65" ht="14.4" x14ac:dyDescent="0.3">
      <c r="BC192" t="s">
        <v>1186</v>
      </c>
      <c r="BD192" t="s">
        <v>1743</v>
      </c>
      <c r="BM192" t="s">
        <v>2196</v>
      </c>
    </row>
    <row r="193" spans="55:65" ht="14.4" x14ac:dyDescent="0.3">
      <c r="BC193" t="s">
        <v>1187</v>
      </c>
      <c r="BD193" t="s">
        <v>1744</v>
      </c>
      <c r="BM193" t="s">
        <v>2197</v>
      </c>
    </row>
    <row r="194" spans="55:65" ht="14.4" x14ac:dyDescent="0.3">
      <c r="BC194" t="s">
        <v>1188</v>
      </c>
      <c r="BD194" t="s">
        <v>1745</v>
      </c>
      <c r="BM194" t="s">
        <v>2198</v>
      </c>
    </row>
    <row r="195" spans="55:65" ht="14.4" x14ac:dyDescent="0.3">
      <c r="BC195" t="s">
        <v>347</v>
      </c>
      <c r="BD195" t="s">
        <v>183</v>
      </c>
      <c r="BM195" t="s">
        <v>2199</v>
      </c>
    </row>
    <row r="196" spans="55:65" ht="14.4" x14ac:dyDescent="0.3">
      <c r="BC196" t="s">
        <v>1189</v>
      </c>
      <c r="BD196" t="s">
        <v>357</v>
      </c>
      <c r="BM196" t="s">
        <v>2200</v>
      </c>
    </row>
    <row r="197" spans="55:65" ht="14.4" x14ac:dyDescent="0.3">
      <c r="BC197" t="s">
        <v>1190</v>
      </c>
      <c r="BD197" t="s">
        <v>1746</v>
      </c>
      <c r="BM197" t="s">
        <v>2201</v>
      </c>
    </row>
    <row r="198" spans="55:65" ht="14.4" x14ac:dyDescent="0.3">
      <c r="BC198" t="s">
        <v>1191</v>
      </c>
      <c r="BD198" t="s">
        <v>1747</v>
      </c>
      <c r="BM198" t="s">
        <v>2202</v>
      </c>
    </row>
    <row r="199" spans="55:65" ht="14.4" x14ac:dyDescent="0.3">
      <c r="BC199" t="s">
        <v>1192</v>
      </c>
      <c r="BD199" t="s">
        <v>1748</v>
      </c>
      <c r="BM199" t="s">
        <v>471</v>
      </c>
    </row>
    <row r="200" spans="55:65" ht="14.4" x14ac:dyDescent="0.3">
      <c r="BC200" t="s">
        <v>1193</v>
      </c>
      <c r="BD200" t="s">
        <v>1749</v>
      </c>
      <c r="BM200" t="s">
        <v>312</v>
      </c>
    </row>
    <row r="201" spans="55:65" ht="14.4" x14ac:dyDescent="0.3">
      <c r="BC201" t="s">
        <v>1194</v>
      </c>
      <c r="BD201" t="s">
        <v>1750</v>
      </c>
      <c r="BM201" t="s">
        <v>2203</v>
      </c>
    </row>
    <row r="202" spans="55:65" ht="14.4" x14ac:dyDescent="0.3">
      <c r="BC202" t="s">
        <v>1195</v>
      </c>
      <c r="BD202" t="s">
        <v>1751</v>
      </c>
      <c r="BM202" t="s">
        <v>2204</v>
      </c>
    </row>
    <row r="203" spans="55:65" ht="14.4" x14ac:dyDescent="0.3">
      <c r="BC203" t="s">
        <v>1196</v>
      </c>
      <c r="BD203" t="s">
        <v>1752</v>
      </c>
      <c r="BM203" t="s">
        <v>2205</v>
      </c>
    </row>
    <row r="204" spans="55:65" ht="14.4" x14ac:dyDescent="0.3">
      <c r="BC204" t="s">
        <v>1197</v>
      </c>
      <c r="BD204" t="s">
        <v>1753</v>
      </c>
      <c r="BM204" t="s">
        <v>2206</v>
      </c>
    </row>
    <row r="205" spans="55:65" ht="14.4" x14ac:dyDescent="0.3">
      <c r="BC205" t="s">
        <v>1198</v>
      </c>
      <c r="BD205" t="s">
        <v>1754</v>
      </c>
      <c r="BM205" t="s">
        <v>2207</v>
      </c>
    </row>
    <row r="206" spans="55:65" ht="14.4" x14ac:dyDescent="0.3">
      <c r="BC206" t="s">
        <v>1199</v>
      </c>
      <c r="BD206" t="s">
        <v>1755</v>
      </c>
      <c r="BM206" t="s">
        <v>2208</v>
      </c>
    </row>
    <row r="207" spans="55:65" ht="14.4" x14ac:dyDescent="0.3">
      <c r="BC207" t="s">
        <v>1200</v>
      </c>
      <c r="BD207" t="s">
        <v>1756</v>
      </c>
      <c r="BM207" t="s">
        <v>2209</v>
      </c>
    </row>
    <row r="208" spans="55:65" ht="14.4" x14ac:dyDescent="0.3">
      <c r="BC208" t="s">
        <v>1201</v>
      </c>
      <c r="BD208" t="s">
        <v>1757</v>
      </c>
      <c r="BM208" t="s">
        <v>2210</v>
      </c>
    </row>
    <row r="209" spans="55:65" ht="14.4" x14ac:dyDescent="0.3">
      <c r="BC209" t="s">
        <v>1202</v>
      </c>
      <c r="BD209" t="s">
        <v>1758</v>
      </c>
      <c r="BM209" t="s">
        <v>2211</v>
      </c>
    </row>
    <row r="210" spans="55:65" ht="14.4" x14ac:dyDescent="0.3">
      <c r="BC210" t="s">
        <v>1202</v>
      </c>
      <c r="BD210" t="s">
        <v>1759</v>
      </c>
      <c r="BM210" t="s">
        <v>2212</v>
      </c>
    </row>
    <row r="211" spans="55:65" ht="14.4" x14ac:dyDescent="0.3">
      <c r="BC211" t="s">
        <v>1203</v>
      </c>
      <c r="BD211" t="s">
        <v>1760</v>
      </c>
      <c r="BM211" t="s">
        <v>2213</v>
      </c>
    </row>
    <row r="212" spans="55:65" ht="14.4" x14ac:dyDescent="0.3">
      <c r="BC212" t="s">
        <v>1204</v>
      </c>
      <c r="BD212" t="s">
        <v>312</v>
      </c>
      <c r="BM212" t="s">
        <v>2214</v>
      </c>
    </row>
    <row r="213" spans="55:65" ht="14.4" x14ac:dyDescent="0.3">
      <c r="BC213" t="s">
        <v>1205</v>
      </c>
      <c r="BD213" t="s">
        <v>1761</v>
      </c>
      <c r="BM213" t="s">
        <v>2215</v>
      </c>
    </row>
    <row r="214" spans="55:65" ht="14.4" x14ac:dyDescent="0.3">
      <c r="BC214" t="s">
        <v>1206</v>
      </c>
      <c r="BD214" t="s">
        <v>1762</v>
      </c>
    </row>
    <row r="215" spans="55:65" ht="14.4" x14ac:dyDescent="0.3">
      <c r="BC215" t="s">
        <v>1207</v>
      </c>
      <c r="BD215" t="s">
        <v>1763</v>
      </c>
    </row>
    <row r="216" spans="55:65" ht="14.4" x14ac:dyDescent="0.3">
      <c r="BC216" t="s">
        <v>1208</v>
      </c>
      <c r="BD216" t="s">
        <v>1764</v>
      </c>
    </row>
    <row r="217" spans="55:65" ht="14.4" x14ac:dyDescent="0.3">
      <c r="BC217" t="s">
        <v>1209</v>
      </c>
      <c r="BD217" t="s">
        <v>1765</v>
      </c>
    </row>
    <row r="218" spans="55:65" ht="14.4" x14ac:dyDescent="0.3">
      <c r="BC218" t="s">
        <v>1210</v>
      </c>
      <c r="BD218" t="s">
        <v>1766</v>
      </c>
    </row>
    <row r="219" spans="55:65" ht="14.4" x14ac:dyDescent="0.3">
      <c r="BC219" t="s">
        <v>1211</v>
      </c>
    </row>
    <row r="220" spans="55:65" ht="14.4" x14ac:dyDescent="0.3">
      <c r="BC220" t="s">
        <v>1212</v>
      </c>
    </row>
    <row r="221" spans="55:65" ht="14.4" x14ac:dyDescent="0.3">
      <c r="BC221" t="s">
        <v>1213</v>
      </c>
    </row>
    <row r="222" spans="55:65" ht="14.4" x14ac:dyDescent="0.3">
      <c r="BC222" t="s">
        <v>1214</v>
      </c>
    </row>
    <row r="223" spans="55:65" ht="14.4" x14ac:dyDescent="0.3">
      <c r="BC223" t="s">
        <v>1215</v>
      </c>
    </row>
    <row r="224" spans="55:65" ht="14.4" x14ac:dyDescent="0.3">
      <c r="BC224" t="s">
        <v>1216</v>
      </c>
    </row>
    <row r="225" spans="55:55" ht="14.4" x14ac:dyDescent="0.3">
      <c r="BC225" t="s">
        <v>1217</v>
      </c>
    </row>
    <row r="226" spans="55:55" ht="14.4" x14ac:dyDescent="0.3">
      <c r="BC226" t="s">
        <v>1218</v>
      </c>
    </row>
    <row r="227" spans="55:55" ht="14.4" x14ac:dyDescent="0.3">
      <c r="BC227" t="s">
        <v>1219</v>
      </c>
    </row>
    <row r="228" spans="55:55" ht="14.4" x14ac:dyDescent="0.3">
      <c r="BC228" t="s">
        <v>1220</v>
      </c>
    </row>
    <row r="229" spans="55:55" ht="14.4" x14ac:dyDescent="0.3">
      <c r="BC229" t="s">
        <v>1221</v>
      </c>
    </row>
    <row r="230" spans="55:55" ht="14.4" x14ac:dyDescent="0.3">
      <c r="BC230" t="s">
        <v>1222</v>
      </c>
    </row>
    <row r="231" spans="55:55" ht="14.4" x14ac:dyDescent="0.3">
      <c r="BC231" t="s">
        <v>1223</v>
      </c>
    </row>
    <row r="232" spans="55:55" ht="14.4" x14ac:dyDescent="0.3">
      <c r="BC232" t="s">
        <v>1224</v>
      </c>
    </row>
    <row r="233" spans="55:55" ht="14.4" x14ac:dyDescent="0.3">
      <c r="BC233" t="s">
        <v>1225</v>
      </c>
    </row>
    <row r="234" spans="55:55" ht="14.4" x14ac:dyDescent="0.3">
      <c r="BC234" t="s">
        <v>1226</v>
      </c>
    </row>
    <row r="235" spans="55:55" ht="14.4" x14ac:dyDescent="0.3">
      <c r="BC235" t="s">
        <v>1227</v>
      </c>
    </row>
    <row r="236" spans="55:55" ht="14.4" x14ac:dyDescent="0.3">
      <c r="BC236" t="s">
        <v>1228</v>
      </c>
    </row>
    <row r="237" spans="55:55" ht="14.4" x14ac:dyDescent="0.3">
      <c r="BC237" t="s">
        <v>1229</v>
      </c>
    </row>
    <row r="238" spans="55:55" ht="14.4" x14ac:dyDescent="0.3">
      <c r="BC238" t="s">
        <v>1230</v>
      </c>
    </row>
    <row r="239" spans="55:55" ht="14.4" x14ac:dyDescent="0.3">
      <c r="BC239" t="s">
        <v>1231</v>
      </c>
    </row>
    <row r="240" spans="55:55" ht="14.4" x14ac:dyDescent="0.3">
      <c r="BC240" t="s">
        <v>1232</v>
      </c>
    </row>
    <row r="241" spans="55:55" ht="14.4" x14ac:dyDescent="0.3">
      <c r="BC241" t="s">
        <v>1233</v>
      </c>
    </row>
    <row r="242" spans="55:55" ht="14.4" x14ac:dyDescent="0.3">
      <c r="BC242" t="s">
        <v>1234</v>
      </c>
    </row>
    <row r="243" spans="55:55" ht="14.4" x14ac:dyDescent="0.3">
      <c r="BC243" t="s">
        <v>1235</v>
      </c>
    </row>
    <row r="244" spans="55:55" ht="14.4" x14ac:dyDescent="0.3">
      <c r="BC244" t="s">
        <v>1236</v>
      </c>
    </row>
    <row r="245" spans="55:55" ht="14.4" x14ac:dyDescent="0.3">
      <c r="BC245" t="s">
        <v>1237</v>
      </c>
    </row>
    <row r="246" spans="55:55" ht="14.4" x14ac:dyDescent="0.3">
      <c r="BC246" t="s">
        <v>1238</v>
      </c>
    </row>
    <row r="247" spans="55:55" ht="14.4" x14ac:dyDescent="0.3">
      <c r="BC247" t="s">
        <v>1239</v>
      </c>
    </row>
    <row r="248" spans="55:55" ht="14.4" x14ac:dyDescent="0.3">
      <c r="BC248" t="s">
        <v>1240</v>
      </c>
    </row>
    <row r="249" spans="55:55" ht="14.4" x14ac:dyDescent="0.3">
      <c r="BC249" t="s">
        <v>1241</v>
      </c>
    </row>
    <row r="250" spans="55:55" ht="14.4" x14ac:dyDescent="0.3">
      <c r="BC250" t="s">
        <v>1242</v>
      </c>
    </row>
    <row r="251" spans="55:55" ht="14.4" x14ac:dyDescent="0.3">
      <c r="BC251" t="s">
        <v>1243</v>
      </c>
    </row>
    <row r="252" spans="55:55" ht="14.4" x14ac:dyDescent="0.3">
      <c r="BC252" t="s">
        <v>1244</v>
      </c>
    </row>
    <row r="253" spans="55:55" ht="14.4" x14ac:dyDescent="0.3">
      <c r="BC253" t="s">
        <v>1245</v>
      </c>
    </row>
    <row r="254" spans="55:55" ht="14.4" x14ac:dyDescent="0.3">
      <c r="BC254" t="s">
        <v>1246</v>
      </c>
    </row>
    <row r="255" spans="55:55" ht="14.4" x14ac:dyDescent="0.3">
      <c r="BC255" t="s">
        <v>1247</v>
      </c>
    </row>
    <row r="256" spans="55:55" ht="14.4" x14ac:dyDescent="0.3">
      <c r="BC256" t="s">
        <v>1248</v>
      </c>
    </row>
    <row r="257" spans="55:55" ht="14.4" x14ac:dyDescent="0.3">
      <c r="BC257" t="s">
        <v>1249</v>
      </c>
    </row>
    <row r="258" spans="55:55" ht="14.4" x14ac:dyDescent="0.3">
      <c r="BC258" t="s">
        <v>1250</v>
      </c>
    </row>
    <row r="259" spans="55:55" ht="14.4" x14ac:dyDescent="0.3">
      <c r="BC259" t="s">
        <v>1251</v>
      </c>
    </row>
    <row r="260" spans="55:55" ht="14.4" x14ac:dyDescent="0.3">
      <c r="BC260" t="s">
        <v>1252</v>
      </c>
    </row>
    <row r="261" spans="55:55" ht="14.4" x14ac:dyDescent="0.3">
      <c r="BC261" t="s">
        <v>1253</v>
      </c>
    </row>
    <row r="262" spans="55:55" ht="14.4" x14ac:dyDescent="0.3">
      <c r="BC262" t="s">
        <v>1254</v>
      </c>
    </row>
    <row r="263" spans="55:55" ht="14.4" x14ac:dyDescent="0.3">
      <c r="BC263" t="s">
        <v>1255</v>
      </c>
    </row>
    <row r="264" spans="55:55" ht="14.4" x14ac:dyDescent="0.3">
      <c r="BC264" t="s">
        <v>1256</v>
      </c>
    </row>
    <row r="265" spans="55:55" ht="14.4" x14ac:dyDescent="0.3">
      <c r="BC265" t="s">
        <v>1257</v>
      </c>
    </row>
    <row r="266" spans="55:55" ht="14.4" x14ac:dyDescent="0.3">
      <c r="BC266" t="s">
        <v>1258</v>
      </c>
    </row>
    <row r="267" spans="55:55" ht="14.4" x14ac:dyDescent="0.3">
      <c r="BC267" t="s">
        <v>1259</v>
      </c>
    </row>
    <row r="268" spans="55:55" ht="14.4" x14ac:dyDescent="0.3">
      <c r="BC268" t="s">
        <v>1260</v>
      </c>
    </row>
    <row r="269" spans="55:55" ht="14.4" x14ac:dyDescent="0.3">
      <c r="BC269" t="s">
        <v>1261</v>
      </c>
    </row>
    <row r="270" spans="55:55" ht="14.4" x14ac:dyDescent="0.3">
      <c r="BC270" t="s">
        <v>1262</v>
      </c>
    </row>
    <row r="271" spans="55:55" ht="14.4" x14ac:dyDescent="0.3">
      <c r="BC271" t="s">
        <v>1263</v>
      </c>
    </row>
    <row r="272" spans="55:55" ht="14.4" x14ac:dyDescent="0.3">
      <c r="BC272" t="s">
        <v>1264</v>
      </c>
    </row>
    <row r="273" spans="55:55" ht="14.4" x14ac:dyDescent="0.3">
      <c r="BC273" t="s">
        <v>1265</v>
      </c>
    </row>
    <row r="274" spans="55:55" ht="14.4" x14ac:dyDescent="0.3">
      <c r="BC274" t="s">
        <v>1266</v>
      </c>
    </row>
    <row r="275" spans="55:55" ht="14.4" x14ac:dyDescent="0.3">
      <c r="BC275" t="s">
        <v>1267</v>
      </c>
    </row>
    <row r="276" spans="55:55" ht="14.4" x14ac:dyDescent="0.3">
      <c r="BC276" t="s">
        <v>1268</v>
      </c>
    </row>
    <row r="277" spans="55:55" ht="14.4" x14ac:dyDescent="0.3">
      <c r="BC277" t="s">
        <v>1269</v>
      </c>
    </row>
    <row r="278" spans="55:55" ht="14.4" x14ac:dyDescent="0.3">
      <c r="BC278" t="s">
        <v>1270</v>
      </c>
    </row>
    <row r="279" spans="55:55" ht="14.4" x14ac:dyDescent="0.3">
      <c r="BC279" t="s">
        <v>1271</v>
      </c>
    </row>
    <row r="280" spans="55:55" ht="14.4" x14ac:dyDescent="0.3">
      <c r="BC280" t="s">
        <v>1272</v>
      </c>
    </row>
    <row r="281" spans="55:55" ht="14.4" x14ac:dyDescent="0.3">
      <c r="BC281" t="s">
        <v>1273</v>
      </c>
    </row>
    <row r="282" spans="55:55" ht="14.4" x14ac:dyDescent="0.3">
      <c r="BC282" t="s">
        <v>1274</v>
      </c>
    </row>
    <row r="283" spans="55:55" ht="14.4" x14ac:dyDescent="0.3">
      <c r="BC283" t="s">
        <v>1275</v>
      </c>
    </row>
    <row r="284" spans="55:55" ht="14.4" x14ac:dyDescent="0.3">
      <c r="BC284" t="s">
        <v>1276</v>
      </c>
    </row>
    <row r="285" spans="55:55" ht="14.4" x14ac:dyDescent="0.3">
      <c r="BC285" t="s">
        <v>1277</v>
      </c>
    </row>
    <row r="286" spans="55:55" ht="14.4" x14ac:dyDescent="0.3">
      <c r="BC286" t="s">
        <v>1278</v>
      </c>
    </row>
    <row r="287" spans="55:55" ht="14.4" x14ac:dyDescent="0.3">
      <c r="BC287" t="s">
        <v>1279</v>
      </c>
    </row>
    <row r="288" spans="55:55" ht="14.4" x14ac:dyDescent="0.3">
      <c r="BC288" t="s">
        <v>1280</v>
      </c>
    </row>
    <row r="289" spans="55:55" ht="14.4" x14ac:dyDescent="0.3">
      <c r="BC289" t="s">
        <v>1281</v>
      </c>
    </row>
    <row r="290" spans="55:55" ht="14.4" x14ac:dyDescent="0.3">
      <c r="BC290" t="s">
        <v>1282</v>
      </c>
    </row>
    <row r="291" spans="55:55" ht="14.4" x14ac:dyDescent="0.3">
      <c r="BC291" t="s">
        <v>1283</v>
      </c>
    </row>
    <row r="292" spans="55:55" ht="14.4" x14ac:dyDescent="0.3">
      <c r="BC292" t="s">
        <v>1284</v>
      </c>
    </row>
    <row r="293" spans="55:55" ht="14.4" x14ac:dyDescent="0.3">
      <c r="BC293" t="s">
        <v>1285</v>
      </c>
    </row>
    <row r="294" spans="55:55" ht="14.4" x14ac:dyDescent="0.3">
      <c r="BC294" t="s">
        <v>1286</v>
      </c>
    </row>
    <row r="295" spans="55:55" ht="14.4" x14ac:dyDescent="0.3">
      <c r="BC295" t="s">
        <v>1287</v>
      </c>
    </row>
    <row r="296" spans="55:55" ht="14.4" x14ac:dyDescent="0.3">
      <c r="BC296" t="s">
        <v>1288</v>
      </c>
    </row>
    <row r="297" spans="55:55" ht="14.4" x14ac:dyDescent="0.3">
      <c r="BC297" t="s">
        <v>1289</v>
      </c>
    </row>
    <row r="298" spans="55:55" ht="14.4" x14ac:dyDescent="0.3">
      <c r="BC298" t="s">
        <v>1290</v>
      </c>
    </row>
    <row r="299" spans="55:55" ht="14.4" x14ac:dyDescent="0.3">
      <c r="BC299" t="s">
        <v>1291</v>
      </c>
    </row>
    <row r="300" spans="55:55" ht="14.4" x14ac:dyDescent="0.3">
      <c r="BC300" t="s">
        <v>1292</v>
      </c>
    </row>
    <row r="301" spans="55:55" ht="14.4" x14ac:dyDescent="0.3">
      <c r="BC301" t="s">
        <v>1293</v>
      </c>
    </row>
    <row r="302" spans="55:55" ht="14.4" x14ac:dyDescent="0.3">
      <c r="BC302" t="s">
        <v>1294</v>
      </c>
    </row>
    <row r="303" spans="55:55" ht="14.4" x14ac:dyDescent="0.3">
      <c r="BC303" t="s">
        <v>1295</v>
      </c>
    </row>
    <row r="304" spans="55:55" ht="14.4" x14ac:dyDescent="0.3">
      <c r="BC304" t="s">
        <v>1296</v>
      </c>
    </row>
    <row r="305" spans="55:55" ht="14.4" x14ac:dyDescent="0.3">
      <c r="BC305" t="s">
        <v>1297</v>
      </c>
    </row>
    <row r="306" spans="55:55" ht="14.4" x14ac:dyDescent="0.3">
      <c r="BC306" t="s">
        <v>1298</v>
      </c>
    </row>
    <row r="307" spans="55:55" ht="14.4" x14ac:dyDescent="0.3">
      <c r="BC307" t="s">
        <v>1299</v>
      </c>
    </row>
    <row r="308" spans="55:55" ht="14.4" x14ac:dyDescent="0.3">
      <c r="BC308" t="s">
        <v>1300</v>
      </c>
    </row>
    <row r="309" spans="55:55" ht="14.4" x14ac:dyDescent="0.3">
      <c r="BC309" t="s">
        <v>1301</v>
      </c>
    </row>
    <row r="310" spans="55:55" ht="14.4" x14ac:dyDescent="0.3">
      <c r="BC310" t="s">
        <v>1302</v>
      </c>
    </row>
    <row r="311" spans="55:55" ht="14.4" x14ac:dyDescent="0.3">
      <c r="BC311" t="s">
        <v>1303</v>
      </c>
    </row>
    <row r="312" spans="55:55" ht="14.4" x14ac:dyDescent="0.3">
      <c r="BC312" t="s">
        <v>1304</v>
      </c>
    </row>
    <row r="313" spans="55:55" ht="14.4" x14ac:dyDescent="0.3">
      <c r="BC313" t="s">
        <v>1305</v>
      </c>
    </row>
    <row r="314" spans="55:55" ht="14.4" x14ac:dyDescent="0.3">
      <c r="BC314" t="s">
        <v>1306</v>
      </c>
    </row>
    <row r="315" spans="55:55" ht="14.4" x14ac:dyDescent="0.3">
      <c r="BC315" t="s">
        <v>1307</v>
      </c>
    </row>
    <row r="316" spans="55:55" ht="14.4" x14ac:dyDescent="0.3">
      <c r="BC316" t="s">
        <v>1308</v>
      </c>
    </row>
    <row r="317" spans="55:55" ht="14.4" x14ac:dyDescent="0.3">
      <c r="BC317" t="s">
        <v>1309</v>
      </c>
    </row>
    <row r="318" spans="55:55" ht="14.4" x14ac:dyDescent="0.3">
      <c r="BC318" t="s">
        <v>1310</v>
      </c>
    </row>
    <row r="319" spans="55:55" ht="14.4" x14ac:dyDescent="0.3">
      <c r="BC319" t="s">
        <v>1311</v>
      </c>
    </row>
    <row r="320" spans="55:55" ht="14.4" x14ac:dyDescent="0.3">
      <c r="BC320" t="s">
        <v>1311</v>
      </c>
    </row>
    <row r="321" spans="55:55" ht="14.4" x14ac:dyDescent="0.3">
      <c r="BC321" t="s">
        <v>1312</v>
      </c>
    </row>
    <row r="322" spans="55:55" ht="14.4" x14ac:dyDescent="0.3">
      <c r="BC322" t="s">
        <v>1313</v>
      </c>
    </row>
    <row r="323" spans="55:55" ht="14.4" x14ac:dyDescent="0.3">
      <c r="BC323" t="s">
        <v>1314</v>
      </c>
    </row>
    <row r="324" spans="55:55" ht="14.4" x14ac:dyDescent="0.3">
      <c r="BC324" t="s">
        <v>1315</v>
      </c>
    </row>
    <row r="325" spans="55:55" ht="14.4" x14ac:dyDescent="0.3">
      <c r="BC325" t="s">
        <v>1316</v>
      </c>
    </row>
    <row r="326" spans="55:55" ht="14.4" x14ac:dyDescent="0.3">
      <c r="BC326" t="s">
        <v>1317</v>
      </c>
    </row>
    <row r="327" spans="55:55" ht="14.4" x14ac:dyDescent="0.3">
      <c r="BC327" t="s">
        <v>1318</v>
      </c>
    </row>
    <row r="328" spans="55:55" ht="14.4" x14ac:dyDescent="0.3">
      <c r="BC328" t="s">
        <v>1319</v>
      </c>
    </row>
    <row r="329" spans="55:55" ht="14.4" x14ac:dyDescent="0.3">
      <c r="BC329" t="s">
        <v>1320</v>
      </c>
    </row>
    <row r="330" spans="55:55" ht="14.4" x14ac:dyDescent="0.3">
      <c r="BC330" t="s">
        <v>1321</v>
      </c>
    </row>
    <row r="331" spans="55:55" ht="14.4" x14ac:dyDescent="0.3">
      <c r="BC331" t="s">
        <v>1322</v>
      </c>
    </row>
    <row r="332" spans="55:55" ht="14.4" x14ac:dyDescent="0.3">
      <c r="BC332" t="s">
        <v>1323</v>
      </c>
    </row>
    <row r="333" spans="55:55" ht="14.4" x14ac:dyDescent="0.3">
      <c r="BC333" t="s">
        <v>1324</v>
      </c>
    </row>
    <row r="334" spans="55:55" ht="14.4" x14ac:dyDescent="0.3">
      <c r="BC334" t="s">
        <v>1325</v>
      </c>
    </row>
    <row r="335" spans="55:55" ht="14.4" x14ac:dyDescent="0.3">
      <c r="BC335" t="s">
        <v>1326</v>
      </c>
    </row>
    <row r="336" spans="55:55" ht="14.4" x14ac:dyDescent="0.3">
      <c r="BC336" t="s">
        <v>1327</v>
      </c>
    </row>
    <row r="337" spans="55:55" ht="14.4" x14ac:dyDescent="0.3">
      <c r="BC337" t="s">
        <v>1328</v>
      </c>
    </row>
    <row r="338" spans="55:55" ht="14.4" x14ac:dyDescent="0.3">
      <c r="BC338" t="s">
        <v>1329</v>
      </c>
    </row>
    <row r="339" spans="55:55" ht="14.4" x14ac:dyDescent="0.3">
      <c r="BC339" t="s">
        <v>1330</v>
      </c>
    </row>
    <row r="340" spans="55:55" ht="14.4" x14ac:dyDescent="0.3">
      <c r="BC340" t="s">
        <v>1331</v>
      </c>
    </row>
    <row r="341" spans="55:55" ht="14.4" x14ac:dyDescent="0.3">
      <c r="BC341" t="s">
        <v>1332</v>
      </c>
    </row>
    <row r="342" spans="55:55" ht="14.4" x14ac:dyDescent="0.3">
      <c r="BC342" t="s">
        <v>1333</v>
      </c>
    </row>
    <row r="343" spans="55:55" ht="14.4" x14ac:dyDescent="0.3">
      <c r="BC343" t="s">
        <v>1334</v>
      </c>
    </row>
    <row r="344" spans="55:55" ht="14.4" x14ac:dyDescent="0.3">
      <c r="BC344" t="s">
        <v>1335</v>
      </c>
    </row>
    <row r="345" spans="55:55" ht="14.4" x14ac:dyDescent="0.3">
      <c r="BC345" t="s">
        <v>1336</v>
      </c>
    </row>
    <row r="346" spans="55:55" ht="14.4" x14ac:dyDescent="0.3">
      <c r="BC346" t="s">
        <v>1337</v>
      </c>
    </row>
    <row r="347" spans="55:55" ht="14.4" x14ac:dyDescent="0.3">
      <c r="BC347" t="s">
        <v>1338</v>
      </c>
    </row>
    <row r="348" spans="55:55" ht="14.4" x14ac:dyDescent="0.3">
      <c r="BC348" t="s">
        <v>1339</v>
      </c>
    </row>
    <row r="349" spans="55:55" ht="14.4" x14ac:dyDescent="0.3">
      <c r="BC349" t="s">
        <v>1340</v>
      </c>
    </row>
    <row r="350" spans="55:55" ht="14.4" x14ac:dyDescent="0.3">
      <c r="BC350" t="s">
        <v>1341</v>
      </c>
    </row>
    <row r="351" spans="55:55" ht="14.4" x14ac:dyDescent="0.3">
      <c r="BC351" t="s">
        <v>1342</v>
      </c>
    </row>
    <row r="352" spans="55:55" ht="14.4" x14ac:dyDescent="0.3">
      <c r="BC352" t="s">
        <v>1343</v>
      </c>
    </row>
    <row r="353" spans="55:55" ht="14.4" x14ac:dyDescent="0.3">
      <c r="BC353" t="s">
        <v>1344</v>
      </c>
    </row>
    <row r="354" spans="55:55" ht="14.4" x14ac:dyDescent="0.3">
      <c r="BC354" t="s">
        <v>1345</v>
      </c>
    </row>
    <row r="355" spans="55:55" ht="14.4" x14ac:dyDescent="0.3">
      <c r="BC355" t="s">
        <v>1346</v>
      </c>
    </row>
    <row r="356" spans="55:55" ht="14.4" x14ac:dyDescent="0.3">
      <c r="BC356" t="s">
        <v>1347</v>
      </c>
    </row>
    <row r="357" spans="55:55" ht="14.4" x14ac:dyDescent="0.3">
      <c r="BC357" t="s">
        <v>1348</v>
      </c>
    </row>
    <row r="358" spans="55:55" ht="14.4" x14ac:dyDescent="0.3">
      <c r="BC358" t="s">
        <v>1349</v>
      </c>
    </row>
    <row r="359" spans="55:55" ht="14.4" x14ac:dyDescent="0.3">
      <c r="BC359" t="s">
        <v>1350</v>
      </c>
    </row>
    <row r="360" spans="55:55" ht="14.4" x14ac:dyDescent="0.3">
      <c r="BC360" t="s">
        <v>1351</v>
      </c>
    </row>
    <row r="361" spans="55:55" ht="14.4" x14ac:dyDescent="0.3">
      <c r="BC361" t="s">
        <v>1352</v>
      </c>
    </row>
    <row r="362" spans="55:55" ht="14.4" x14ac:dyDescent="0.3">
      <c r="BC362" t="s">
        <v>1353</v>
      </c>
    </row>
    <row r="363" spans="55:55" ht="14.4" x14ac:dyDescent="0.3">
      <c r="BC363" t="s">
        <v>1354</v>
      </c>
    </row>
    <row r="364" spans="55:55" ht="14.4" x14ac:dyDescent="0.3">
      <c r="BC364" t="s">
        <v>1355</v>
      </c>
    </row>
    <row r="365" spans="55:55" ht="14.4" x14ac:dyDescent="0.3">
      <c r="BC365" t="s">
        <v>1356</v>
      </c>
    </row>
    <row r="366" spans="55:55" ht="14.4" x14ac:dyDescent="0.3">
      <c r="BC366" t="s">
        <v>1357</v>
      </c>
    </row>
    <row r="367" spans="55:55" ht="14.4" x14ac:dyDescent="0.3">
      <c r="BC367" t="s">
        <v>1358</v>
      </c>
    </row>
    <row r="368" spans="55:55" ht="14.4" x14ac:dyDescent="0.3">
      <c r="BC368" t="s">
        <v>1359</v>
      </c>
    </row>
    <row r="369" spans="55:55" ht="14.4" x14ac:dyDescent="0.3">
      <c r="BC369" t="s">
        <v>1360</v>
      </c>
    </row>
    <row r="370" spans="55:55" ht="14.4" x14ac:dyDescent="0.3">
      <c r="BC370" t="s">
        <v>1361</v>
      </c>
    </row>
    <row r="371" spans="55:55" ht="14.4" x14ac:dyDescent="0.3">
      <c r="BC371" t="s">
        <v>1362</v>
      </c>
    </row>
    <row r="372" spans="55:55" ht="14.4" x14ac:dyDescent="0.3">
      <c r="BC372" t="s">
        <v>1363</v>
      </c>
    </row>
    <row r="373" spans="55:55" ht="14.4" x14ac:dyDescent="0.3">
      <c r="BC373" t="s">
        <v>1364</v>
      </c>
    </row>
    <row r="374" spans="55:55" ht="14.4" x14ac:dyDescent="0.3">
      <c r="BC374" t="s">
        <v>1365</v>
      </c>
    </row>
    <row r="375" spans="55:55" ht="14.4" x14ac:dyDescent="0.3">
      <c r="BC375" t="s">
        <v>1366</v>
      </c>
    </row>
    <row r="376" spans="55:55" ht="14.4" x14ac:dyDescent="0.3">
      <c r="BC376" t="s">
        <v>1367</v>
      </c>
    </row>
    <row r="377" spans="55:55" ht="14.4" x14ac:dyDescent="0.3">
      <c r="BC377" t="s">
        <v>1368</v>
      </c>
    </row>
    <row r="378" spans="55:55" ht="14.4" x14ac:dyDescent="0.3">
      <c r="BC378" t="s">
        <v>1369</v>
      </c>
    </row>
    <row r="379" spans="55:55" ht="14.4" x14ac:dyDescent="0.3">
      <c r="BC379" t="s">
        <v>1370</v>
      </c>
    </row>
    <row r="380" spans="55:55" ht="14.4" x14ac:dyDescent="0.3">
      <c r="BC380" t="s">
        <v>1371</v>
      </c>
    </row>
    <row r="381" spans="55:55" ht="14.4" x14ac:dyDescent="0.3">
      <c r="BC381" t="s">
        <v>1372</v>
      </c>
    </row>
    <row r="382" spans="55:55" ht="14.4" x14ac:dyDescent="0.3">
      <c r="BC382" t="s">
        <v>1373</v>
      </c>
    </row>
    <row r="383" spans="55:55" ht="14.4" x14ac:dyDescent="0.3">
      <c r="BC383" t="s">
        <v>1374</v>
      </c>
    </row>
    <row r="384" spans="55:55" ht="14.4" x14ac:dyDescent="0.3">
      <c r="BC384" t="s">
        <v>1375</v>
      </c>
    </row>
    <row r="385" spans="55:55" ht="14.4" x14ac:dyDescent="0.3">
      <c r="BC385" t="s">
        <v>1376</v>
      </c>
    </row>
    <row r="386" spans="55:55" ht="14.4" x14ac:dyDescent="0.3">
      <c r="BC386" t="s">
        <v>1377</v>
      </c>
    </row>
    <row r="387" spans="55:55" ht="14.4" x14ac:dyDescent="0.3">
      <c r="BC387" t="s">
        <v>1378</v>
      </c>
    </row>
    <row r="388" spans="55:55" ht="14.4" x14ac:dyDescent="0.3">
      <c r="BC388" t="s">
        <v>1379</v>
      </c>
    </row>
    <row r="389" spans="55:55" ht="14.4" x14ac:dyDescent="0.3">
      <c r="BC389" t="s">
        <v>1380</v>
      </c>
    </row>
    <row r="390" spans="55:55" ht="14.4" x14ac:dyDescent="0.3">
      <c r="BC390" t="s">
        <v>1381</v>
      </c>
    </row>
    <row r="391" spans="55:55" ht="14.4" x14ac:dyDescent="0.3">
      <c r="BC391" t="s">
        <v>1382</v>
      </c>
    </row>
    <row r="392" spans="55:55" ht="14.4" x14ac:dyDescent="0.3">
      <c r="BC392" t="s">
        <v>1383</v>
      </c>
    </row>
    <row r="393" spans="55:55" ht="14.4" x14ac:dyDescent="0.3">
      <c r="BC393" t="s">
        <v>1384</v>
      </c>
    </row>
    <row r="394" spans="55:55" ht="14.4" x14ac:dyDescent="0.3">
      <c r="BC394" t="s">
        <v>1385</v>
      </c>
    </row>
    <row r="395" spans="55:55" ht="14.4" x14ac:dyDescent="0.3">
      <c r="BC395" t="s">
        <v>1386</v>
      </c>
    </row>
    <row r="396" spans="55:55" ht="14.4" x14ac:dyDescent="0.3">
      <c r="BC396" t="s">
        <v>1387</v>
      </c>
    </row>
    <row r="397" spans="55:55" ht="14.4" x14ac:dyDescent="0.3">
      <c r="BC397" t="s">
        <v>1388</v>
      </c>
    </row>
    <row r="398" spans="55:55" ht="14.4" x14ac:dyDescent="0.3">
      <c r="BC398" t="s">
        <v>1389</v>
      </c>
    </row>
    <row r="399" spans="55:55" ht="14.4" x14ac:dyDescent="0.3">
      <c r="BC399" t="s">
        <v>1390</v>
      </c>
    </row>
    <row r="400" spans="55:55" ht="14.4" x14ac:dyDescent="0.3">
      <c r="BC400" t="s">
        <v>1391</v>
      </c>
    </row>
    <row r="401" spans="55:55" ht="14.4" x14ac:dyDescent="0.3">
      <c r="BC401" t="s">
        <v>1392</v>
      </c>
    </row>
    <row r="402" spans="55:55" ht="14.4" x14ac:dyDescent="0.3">
      <c r="BC402" t="s">
        <v>1393</v>
      </c>
    </row>
    <row r="403" spans="55:55" ht="14.4" x14ac:dyDescent="0.3">
      <c r="BC403" t="s">
        <v>1394</v>
      </c>
    </row>
    <row r="404" spans="55:55" ht="14.4" x14ac:dyDescent="0.3">
      <c r="BC404" t="s">
        <v>1395</v>
      </c>
    </row>
    <row r="405" spans="55:55" ht="14.4" x14ac:dyDescent="0.3">
      <c r="BC405" t="s">
        <v>1396</v>
      </c>
    </row>
    <row r="406" spans="55:55" ht="14.4" x14ac:dyDescent="0.3">
      <c r="BC406" t="s">
        <v>1397</v>
      </c>
    </row>
    <row r="407" spans="55:55" ht="14.4" x14ac:dyDescent="0.3">
      <c r="BC407" t="s">
        <v>1398</v>
      </c>
    </row>
    <row r="408" spans="55:55" ht="14.4" x14ac:dyDescent="0.3">
      <c r="BC408" t="s">
        <v>1399</v>
      </c>
    </row>
    <row r="409" spans="55:55" ht="14.4" x14ac:dyDescent="0.3">
      <c r="BC409" t="s">
        <v>1400</v>
      </c>
    </row>
    <row r="410" spans="55:55" ht="14.4" x14ac:dyDescent="0.3">
      <c r="BC410" t="s">
        <v>1401</v>
      </c>
    </row>
    <row r="411" spans="55:55" ht="14.4" x14ac:dyDescent="0.3">
      <c r="BC411" t="s">
        <v>1402</v>
      </c>
    </row>
    <row r="412" spans="55:55" ht="14.4" x14ac:dyDescent="0.3">
      <c r="BC412" t="s">
        <v>1403</v>
      </c>
    </row>
    <row r="413" spans="55:55" ht="14.4" x14ac:dyDescent="0.3">
      <c r="BC413" t="s">
        <v>1404</v>
      </c>
    </row>
    <row r="414" spans="55:55" ht="14.4" x14ac:dyDescent="0.3">
      <c r="BC414" t="s">
        <v>1405</v>
      </c>
    </row>
    <row r="415" spans="55:55" ht="14.4" x14ac:dyDescent="0.3">
      <c r="BC415" t="s">
        <v>1406</v>
      </c>
    </row>
    <row r="416" spans="55:55" ht="14.4" x14ac:dyDescent="0.3">
      <c r="BC416" t="s">
        <v>1407</v>
      </c>
    </row>
    <row r="417" spans="55:55" ht="14.4" x14ac:dyDescent="0.3">
      <c r="BC417" t="s">
        <v>1408</v>
      </c>
    </row>
    <row r="418" spans="55:55" ht="14.4" x14ac:dyDescent="0.3">
      <c r="BC418" t="s">
        <v>1409</v>
      </c>
    </row>
    <row r="419" spans="55:55" ht="14.4" x14ac:dyDescent="0.3">
      <c r="BC419" t="s">
        <v>1410</v>
      </c>
    </row>
    <row r="420" spans="55:55" ht="14.4" x14ac:dyDescent="0.3">
      <c r="BC420" t="s">
        <v>1411</v>
      </c>
    </row>
    <row r="421" spans="55:55" ht="14.4" x14ac:dyDescent="0.3">
      <c r="BC421" t="s">
        <v>1412</v>
      </c>
    </row>
    <row r="422" spans="55:55" ht="14.4" x14ac:dyDescent="0.3">
      <c r="BC422" t="s">
        <v>1413</v>
      </c>
    </row>
    <row r="423" spans="55:55" ht="14.4" x14ac:dyDescent="0.3">
      <c r="BC423" t="s">
        <v>1414</v>
      </c>
    </row>
    <row r="424" spans="55:55" ht="14.4" x14ac:dyDescent="0.3">
      <c r="BC424" t="s">
        <v>1415</v>
      </c>
    </row>
    <row r="425" spans="55:55" ht="14.4" x14ac:dyDescent="0.3">
      <c r="BC425" t="s">
        <v>1416</v>
      </c>
    </row>
    <row r="426" spans="55:55" ht="14.4" x14ac:dyDescent="0.3">
      <c r="BC426" t="s">
        <v>1417</v>
      </c>
    </row>
    <row r="427" spans="55:55" ht="14.4" x14ac:dyDescent="0.3">
      <c r="BC427" t="s">
        <v>1418</v>
      </c>
    </row>
    <row r="428" spans="55:55" ht="14.4" x14ac:dyDescent="0.3">
      <c r="BC428" t="s">
        <v>1419</v>
      </c>
    </row>
    <row r="429" spans="55:55" ht="14.4" x14ac:dyDescent="0.3">
      <c r="BC429" t="s">
        <v>1420</v>
      </c>
    </row>
    <row r="430" spans="55:55" ht="14.4" x14ac:dyDescent="0.3">
      <c r="BC430" t="s">
        <v>1421</v>
      </c>
    </row>
    <row r="431" spans="55:55" ht="14.4" x14ac:dyDescent="0.3">
      <c r="BC431" t="s">
        <v>1422</v>
      </c>
    </row>
    <row r="432" spans="55:55" ht="14.4" x14ac:dyDescent="0.3">
      <c r="BC432" t="s">
        <v>1423</v>
      </c>
    </row>
    <row r="433" spans="55:55" ht="14.4" x14ac:dyDescent="0.3">
      <c r="BC433" t="s">
        <v>1424</v>
      </c>
    </row>
    <row r="434" spans="55:55" ht="14.4" x14ac:dyDescent="0.3">
      <c r="BC434" t="s">
        <v>1425</v>
      </c>
    </row>
    <row r="435" spans="55:55" ht="14.4" x14ac:dyDescent="0.3">
      <c r="BC435" t="s">
        <v>1426</v>
      </c>
    </row>
    <row r="436" spans="55:55" ht="14.4" x14ac:dyDescent="0.3">
      <c r="BC436" t="s">
        <v>1427</v>
      </c>
    </row>
    <row r="437" spans="55:55" ht="14.4" x14ac:dyDescent="0.3">
      <c r="BC437" t="s">
        <v>1428</v>
      </c>
    </row>
    <row r="438" spans="55:55" ht="14.4" x14ac:dyDescent="0.3">
      <c r="BC438" t="s">
        <v>1429</v>
      </c>
    </row>
    <row r="439" spans="55:55" ht="14.4" x14ac:dyDescent="0.3">
      <c r="BC439" t="s">
        <v>1430</v>
      </c>
    </row>
    <row r="440" spans="55:55" ht="14.4" x14ac:dyDescent="0.3">
      <c r="BC440" t="s">
        <v>1431</v>
      </c>
    </row>
    <row r="441" spans="55:55" ht="14.4" x14ac:dyDescent="0.3">
      <c r="BC441" t="s">
        <v>1432</v>
      </c>
    </row>
    <row r="442" spans="55:55" ht="14.4" x14ac:dyDescent="0.3">
      <c r="BC442" t="s">
        <v>1433</v>
      </c>
    </row>
    <row r="443" spans="55:55" ht="14.4" x14ac:dyDescent="0.3">
      <c r="BC443" t="s">
        <v>1434</v>
      </c>
    </row>
    <row r="444" spans="55:55" ht="14.4" x14ac:dyDescent="0.3">
      <c r="BC444" t="s">
        <v>1435</v>
      </c>
    </row>
    <row r="445" spans="55:55" ht="14.4" x14ac:dyDescent="0.3">
      <c r="BC445" t="s">
        <v>1436</v>
      </c>
    </row>
    <row r="446" spans="55:55" ht="14.4" x14ac:dyDescent="0.3">
      <c r="BC446" t="s">
        <v>1437</v>
      </c>
    </row>
    <row r="447" spans="55:55" ht="14.4" x14ac:dyDescent="0.3">
      <c r="BC447" t="s">
        <v>1438</v>
      </c>
    </row>
    <row r="448" spans="55:55" ht="14.4" x14ac:dyDescent="0.3">
      <c r="BC448" t="s">
        <v>1439</v>
      </c>
    </row>
    <row r="449" spans="55:55" ht="14.4" x14ac:dyDescent="0.3">
      <c r="BC449" t="s">
        <v>1440</v>
      </c>
    </row>
    <row r="450" spans="55:55" ht="14.4" x14ac:dyDescent="0.3">
      <c r="BC450" t="s">
        <v>1441</v>
      </c>
    </row>
    <row r="451" spans="55:55" ht="14.4" x14ac:dyDescent="0.3">
      <c r="BC451" t="s">
        <v>1442</v>
      </c>
    </row>
    <row r="452" spans="55:55" ht="14.4" x14ac:dyDescent="0.3">
      <c r="BC452" t="s">
        <v>1443</v>
      </c>
    </row>
    <row r="453" spans="55:55" ht="14.4" x14ac:dyDescent="0.3">
      <c r="BC453" t="s">
        <v>1444</v>
      </c>
    </row>
    <row r="454" spans="55:55" ht="14.4" x14ac:dyDescent="0.3">
      <c r="BC454" t="s">
        <v>1445</v>
      </c>
    </row>
    <row r="455" spans="55:55" ht="14.4" x14ac:dyDescent="0.3">
      <c r="BC455" t="s">
        <v>1446</v>
      </c>
    </row>
    <row r="456" spans="55:55" ht="14.4" x14ac:dyDescent="0.3">
      <c r="BC456" t="s">
        <v>1447</v>
      </c>
    </row>
    <row r="457" spans="55:55" ht="14.4" x14ac:dyDescent="0.3">
      <c r="BC457" t="s">
        <v>1448</v>
      </c>
    </row>
    <row r="458" spans="55:55" ht="14.4" x14ac:dyDescent="0.3">
      <c r="BC458" t="s">
        <v>1449</v>
      </c>
    </row>
    <row r="459" spans="55:55" ht="14.4" x14ac:dyDescent="0.3">
      <c r="BC459" t="s">
        <v>1450</v>
      </c>
    </row>
    <row r="460" spans="55:55" ht="14.4" x14ac:dyDescent="0.3">
      <c r="BC460" t="s">
        <v>1451</v>
      </c>
    </row>
    <row r="461" spans="55:55" ht="14.4" x14ac:dyDescent="0.3">
      <c r="BC461" t="s">
        <v>1452</v>
      </c>
    </row>
    <row r="462" spans="55:55" ht="14.4" x14ac:dyDescent="0.3">
      <c r="BC462" t="s">
        <v>1453</v>
      </c>
    </row>
    <row r="463" spans="55:55" ht="14.4" x14ac:dyDescent="0.3">
      <c r="BC463" t="s">
        <v>1454</v>
      </c>
    </row>
    <row r="464" spans="55:55" ht="14.4" x14ac:dyDescent="0.3">
      <c r="BC464" t="s">
        <v>1455</v>
      </c>
    </row>
    <row r="465" spans="55:55" ht="14.4" x14ac:dyDescent="0.3">
      <c r="BC465" t="s">
        <v>1456</v>
      </c>
    </row>
    <row r="466" spans="55:55" ht="14.4" x14ac:dyDescent="0.3">
      <c r="BC466" t="s">
        <v>1457</v>
      </c>
    </row>
    <row r="467" spans="55:55" ht="14.4" x14ac:dyDescent="0.3">
      <c r="BC467" t="s">
        <v>1458</v>
      </c>
    </row>
    <row r="468" spans="55:55" ht="14.4" x14ac:dyDescent="0.3">
      <c r="BC468" t="s">
        <v>1459</v>
      </c>
    </row>
    <row r="469" spans="55:55" ht="14.4" x14ac:dyDescent="0.3">
      <c r="BC469" t="s">
        <v>1460</v>
      </c>
    </row>
    <row r="470" spans="55:55" ht="14.4" x14ac:dyDescent="0.3">
      <c r="BC470" t="s">
        <v>1461</v>
      </c>
    </row>
    <row r="471" spans="55:55" ht="14.4" x14ac:dyDescent="0.3">
      <c r="BC471" t="s">
        <v>1462</v>
      </c>
    </row>
    <row r="472" spans="55:55" ht="14.4" x14ac:dyDescent="0.3">
      <c r="BC472" t="s">
        <v>1463</v>
      </c>
    </row>
    <row r="473" spans="55:55" ht="14.4" x14ac:dyDescent="0.3">
      <c r="BC473" t="s">
        <v>1464</v>
      </c>
    </row>
    <row r="474" spans="55:55" ht="14.4" x14ac:dyDescent="0.3">
      <c r="BC474" t="s">
        <v>1465</v>
      </c>
    </row>
    <row r="475" spans="55:55" ht="14.4" x14ac:dyDescent="0.3">
      <c r="BC475" t="s">
        <v>1466</v>
      </c>
    </row>
    <row r="476" spans="55:55" ht="14.4" x14ac:dyDescent="0.3">
      <c r="BC476" t="s">
        <v>1467</v>
      </c>
    </row>
    <row r="477" spans="55:55" ht="14.4" x14ac:dyDescent="0.3">
      <c r="BC477" t="s">
        <v>1468</v>
      </c>
    </row>
    <row r="478" spans="55:55" ht="14.4" x14ac:dyDescent="0.3">
      <c r="BC478" t="s">
        <v>1469</v>
      </c>
    </row>
    <row r="479" spans="55:55" ht="14.4" x14ac:dyDescent="0.3">
      <c r="BC479" t="s">
        <v>1470</v>
      </c>
    </row>
    <row r="480" spans="55:55" ht="14.4" x14ac:dyDescent="0.3">
      <c r="BC480" t="s">
        <v>1471</v>
      </c>
    </row>
    <row r="481" spans="55:55" ht="14.4" x14ac:dyDescent="0.3">
      <c r="BC481" t="s">
        <v>1472</v>
      </c>
    </row>
    <row r="482" spans="55:55" ht="14.4" x14ac:dyDescent="0.3">
      <c r="BC482" t="s">
        <v>1473</v>
      </c>
    </row>
    <row r="483" spans="55:55" ht="14.4" x14ac:dyDescent="0.3">
      <c r="BC483" t="s">
        <v>1474</v>
      </c>
    </row>
    <row r="484" spans="55:55" ht="14.4" x14ac:dyDescent="0.3">
      <c r="BC484" t="s">
        <v>1475</v>
      </c>
    </row>
    <row r="485" spans="55:55" ht="14.4" x14ac:dyDescent="0.3">
      <c r="BC485" t="s">
        <v>1476</v>
      </c>
    </row>
    <row r="486" spans="55:55" ht="14.4" x14ac:dyDescent="0.3">
      <c r="BC486" t="s">
        <v>1477</v>
      </c>
    </row>
    <row r="487" spans="55:55" ht="14.4" x14ac:dyDescent="0.3">
      <c r="BC487" t="s">
        <v>1478</v>
      </c>
    </row>
    <row r="488" spans="55:55" ht="14.4" x14ac:dyDescent="0.3">
      <c r="BC488" t="s">
        <v>1479</v>
      </c>
    </row>
    <row r="489" spans="55:55" ht="14.4" x14ac:dyDescent="0.3">
      <c r="BC489" t="s">
        <v>1480</v>
      </c>
    </row>
    <row r="490" spans="55:55" ht="14.4" x14ac:dyDescent="0.3">
      <c r="BC490" t="s">
        <v>1481</v>
      </c>
    </row>
    <row r="491" spans="55:55" ht="14.4" x14ac:dyDescent="0.3">
      <c r="BC491" t="s">
        <v>1482</v>
      </c>
    </row>
    <row r="492" spans="55:55" ht="14.4" x14ac:dyDescent="0.3">
      <c r="BC492" t="s">
        <v>1483</v>
      </c>
    </row>
    <row r="493" spans="55:55" ht="14.4" x14ac:dyDescent="0.3">
      <c r="BC493" t="s">
        <v>1484</v>
      </c>
    </row>
    <row r="494" spans="55:55" ht="14.4" x14ac:dyDescent="0.3">
      <c r="BC494" t="s">
        <v>1485</v>
      </c>
    </row>
    <row r="495" spans="55:55" ht="14.4" x14ac:dyDescent="0.3">
      <c r="BC495" t="s">
        <v>1486</v>
      </c>
    </row>
    <row r="496" spans="55:55" ht="14.4" x14ac:dyDescent="0.3">
      <c r="BC496" t="s">
        <v>1487</v>
      </c>
    </row>
    <row r="497" spans="55:55" ht="14.4" x14ac:dyDescent="0.3">
      <c r="BC497" t="s">
        <v>1488</v>
      </c>
    </row>
    <row r="498" spans="55:55" ht="14.4" x14ac:dyDescent="0.3">
      <c r="BC498" t="s">
        <v>1489</v>
      </c>
    </row>
    <row r="499" spans="55:55" ht="14.4" x14ac:dyDescent="0.3">
      <c r="BC499" t="s">
        <v>1490</v>
      </c>
    </row>
    <row r="500" spans="55:55" ht="14.4" x14ac:dyDescent="0.3">
      <c r="BC500" t="s">
        <v>1491</v>
      </c>
    </row>
    <row r="501" spans="55:55" ht="14.4" x14ac:dyDescent="0.3">
      <c r="BC501" t="s">
        <v>1492</v>
      </c>
    </row>
    <row r="502" spans="55:55" ht="14.4" x14ac:dyDescent="0.3">
      <c r="BC502" t="s">
        <v>1493</v>
      </c>
    </row>
    <row r="503" spans="55:55" ht="14.4" x14ac:dyDescent="0.3">
      <c r="BC503" t="s">
        <v>1494</v>
      </c>
    </row>
    <row r="504" spans="55:55" ht="14.4" x14ac:dyDescent="0.3">
      <c r="BC504" t="s">
        <v>1495</v>
      </c>
    </row>
    <row r="505" spans="55:55" ht="14.4" x14ac:dyDescent="0.3">
      <c r="BC505" t="s">
        <v>1496</v>
      </c>
    </row>
    <row r="506" spans="55:55" ht="14.4" x14ac:dyDescent="0.3">
      <c r="BC506" t="s">
        <v>1497</v>
      </c>
    </row>
    <row r="507" spans="55:55" ht="14.4" x14ac:dyDescent="0.3">
      <c r="BC507" t="s">
        <v>1498</v>
      </c>
    </row>
    <row r="508" spans="55:55" ht="14.4" x14ac:dyDescent="0.3">
      <c r="BC508" t="s">
        <v>1499</v>
      </c>
    </row>
    <row r="509" spans="55:55" ht="14.4" x14ac:dyDescent="0.3">
      <c r="BC509" t="s">
        <v>1500</v>
      </c>
    </row>
    <row r="510" spans="55:55" ht="14.4" x14ac:dyDescent="0.3">
      <c r="BC510" t="s">
        <v>1501</v>
      </c>
    </row>
    <row r="511" spans="55:55" ht="14.4" x14ac:dyDescent="0.3">
      <c r="BC511" t="s">
        <v>1502</v>
      </c>
    </row>
    <row r="512" spans="55:55" ht="14.4" x14ac:dyDescent="0.3">
      <c r="BC512" t="s">
        <v>1503</v>
      </c>
    </row>
    <row r="513" spans="55:55" ht="14.4" x14ac:dyDescent="0.3">
      <c r="BC513" t="s">
        <v>1504</v>
      </c>
    </row>
    <row r="514" spans="55:55" ht="14.4" x14ac:dyDescent="0.3">
      <c r="BC514" t="s">
        <v>1505</v>
      </c>
    </row>
    <row r="515" spans="55:55" ht="14.4" x14ac:dyDescent="0.3">
      <c r="BC515" t="s">
        <v>1506</v>
      </c>
    </row>
    <row r="516" spans="55:55" ht="14.4" x14ac:dyDescent="0.3">
      <c r="BC516" t="s">
        <v>1507</v>
      </c>
    </row>
    <row r="517" spans="55:55" ht="14.4" x14ac:dyDescent="0.3">
      <c r="BC517" t="s">
        <v>1508</v>
      </c>
    </row>
    <row r="518" spans="55:55" ht="14.4" x14ac:dyDescent="0.3">
      <c r="BC518" t="s">
        <v>1509</v>
      </c>
    </row>
    <row r="519" spans="55:55" ht="14.4" x14ac:dyDescent="0.3">
      <c r="BC519" t="s">
        <v>1510</v>
      </c>
    </row>
    <row r="520" spans="55:55" ht="14.4" x14ac:dyDescent="0.3">
      <c r="BC520" t="s">
        <v>1511</v>
      </c>
    </row>
    <row r="521" spans="55:55" ht="14.4" x14ac:dyDescent="0.3">
      <c r="BC521" t="s">
        <v>1512</v>
      </c>
    </row>
    <row r="522" spans="55:55" ht="14.4" x14ac:dyDescent="0.3">
      <c r="BC522" t="s">
        <v>1513</v>
      </c>
    </row>
    <row r="523" spans="55:55" ht="14.4" x14ac:dyDescent="0.3">
      <c r="BC523" t="s">
        <v>1514</v>
      </c>
    </row>
    <row r="524" spans="55:55" ht="14.4" x14ac:dyDescent="0.3">
      <c r="BC524" t="s">
        <v>1515</v>
      </c>
    </row>
    <row r="525" spans="55:55" ht="14.4" x14ac:dyDescent="0.3">
      <c r="BC525" t="s">
        <v>1516</v>
      </c>
    </row>
    <row r="526" spans="55:55" ht="14.4" x14ac:dyDescent="0.3">
      <c r="BC526" t="s">
        <v>1517</v>
      </c>
    </row>
    <row r="527" spans="55:55" ht="14.4" x14ac:dyDescent="0.3">
      <c r="BC527" t="s">
        <v>1518</v>
      </c>
    </row>
    <row r="528" spans="55:55" ht="14.4" x14ac:dyDescent="0.3">
      <c r="BC528" t="s">
        <v>1519</v>
      </c>
    </row>
    <row r="529" spans="55:55" ht="14.4" x14ac:dyDescent="0.3">
      <c r="BC529" t="s">
        <v>1520</v>
      </c>
    </row>
    <row r="530" spans="55:55" ht="14.4" x14ac:dyDescent="0.3">
      <c r="BC530" t="s">
        <v>1521</v>
      </c>
    </row>
    <row r="531" spans="55:55" ht="14.4" x14ac:dyDescent="0.3">
      <c r="BC531" t="s">
        <v>1522</v>
      </c>
    </row>
    <row r="532" spans="55:55" ht="14.4" x14ac:dyDescent="0.3">
      <c r="BC532" t="s">
        <v>1523</v>
      </c>
    </row>
    <row r="533" spans="55:55" ht="14.4" x14ac:dyDescent="0.3">
      <c r="BC533" t="s">
        <v>1524</v>
      </c>
    </row>
    <row r="534" spans="55:55" ht="14.4" x14ac:dyDescent="0.3">
      <c r="BC534" t="s">
        <v>1525</v>
      </c>
    </row>
    <row r="535" spans="55:55" ht="14.4" x14ac:dyDescent="0.3">
      <c r="BC535" t="s">
        <v>1526</v>
      </c>
    </row>
    <row r="536" spans="55:55" ht="14.4" x14ac:dyDescent="0.3">
      <c r="BC536" t="s">
        <v>1527</v>
      </c>
    </row>
    <row r="537" spans="55:55" ht="14.4" x14ac:dyDescent="0.3">
      <c r="BC537" t="s">
        <v>1528</v>
      </c>
    </row>
    <row r="538" spans="55:55" ht="14.4" x14ac:dyDescent="0.3">
      <c r="BC538" t="s">
        <v>1529</v>
      </c>
    </row>
    <row r="539" spans="55:55" ht="14.4" x14ac:dyDescent="0.3">
      <c r="BC539" t="s">
        <v>1530</v>
      </c>
    </row>
    <row r="540" spans="55:55" ht="14.4" x14ac:dyDescent="0.3">
      <c r="BC540" t="s">
        <v>1531</v>
      </c>
    </row>
    <row r="541" spans="55:55" ht="14.4" x14ac:dyDescent="0.3">
      <c r="BC541" t="s">
        <v>1532</v>
      </c>
    </row>
    <row r="542" spans="55:55" ht="14.4" x14ac:dyDescent="0.3">
      <c r="BC542" t="s">
        <v>1533</v>
      </c>
    </row>
    <row r="543" spans="55:55" ht="14.4" x14ac:dyDescent="0.3">
      <c r="BC543" t="s">
        <v>1534</v>
      </c>
    </row>
    <row r="544" spans="55:55" ht="14.4" x14ac:dyDescent="0.3">
      <c r="BC544" t="s">
        <v>1535</v>
      </c>
    </row>
    <row r="545" spans="55:55" ht="14.4" x14ac:dyDescent="0.3">
      <c r="BC545" t="s">
        <v>1536</v>
      </c>
    </row>
    <row r="546" spans="55:55" ht="14.4" x14ac:dyDescent="0.3">
      <c r="BC546" t="s">
        <v>1537</v>
      </c>
    </row>
    <row r="547" spans="55:55" ht="14.4" x14ac:dyDescent="0.3">
      <c r="BC547" t="s">
        <v>1538</v>
      </c>
    </row>
    <row r="548" spans="55:55" ht="14.4" x14ac:dyDescent="0.3">
      <c r="BC548" t="s">
        <v>1539</v>
      </c>
    </row>
    <row r="549" spans="55:55" ht="14.4" x14ac:dyDescent="0.3">
      <c r="BC549" t="s">
        <v>1540</v>
      </c>
    </row>
    <row r="550" spans="55:55" ht="14.4" x14ac:dyDescent="0.3">
      <c r="BC550" t="s">
        <v>1541</v>
      </c>
    </row>
    <row r="551" spans="55:55" ht="14.4" x14ac:dyDescent="0.3">
      <c r="BC551" t="s">
        <v>1542</v>
      </c>
    </row>
    <row r="552" spans="55:55" ht="14.4" x14ac:dyDescent="0.3">
      <c r="BC552" t="s">
        <v>1543</v>
      </c>
    </row>
    <row r="553" spans="55:55" ht="14.4" x14ac:dyDescent="0.3">
      <c r="BC553" t="s">
        <v>1544</v>
      </c>
    </row>
    <row r="554" spans="55:55" ht="14.4" x14ac:dyDescent="0.3">
      <c r="BC554" t="s">
        <v>1545</v>
      </c>
    </row>
    <row r="555" spans="55:55" ht="14.4" x14ac:dyDescent="0.3">
      <c r="BC555" t="s">
        <v>1546</v>
      </c>
    </row>
    <row r="556" spans="55:55" ht="14.4" x14ac:dyDescent="0.3">
      <c r="BC556" t="s">
        <v>1547</v>
      </c>
    </row>
    <row r="557" spans="55:55" ht="14.4" x14ac:dyDescent="0.3">
      <c r="BC557" t="s">
        <v>1548</v>
      </c>
    </row>
    <row r="558" spans="55:55" ht="14.4" x14ac:dyDescent="0.3">
      <c r="BC558" t="s">
        <v>1549</v>
      </c>
    </row>
    <row r="559" spans="55:55" ht="14.4" x14ac:dyDescent="0.3">
      <c r="BC559" t="s">
        <v>1550</v>
      </c>
    </row>
    <row r="560" spans="55:55" ht="14.4" x14ac:dyDescent="0.3">
      <c r="BC560" t="s">
        <v>1551</v>
      </c>
    </row>
    <row r="561" spans="55:55" ht="14.4" x14ac:dyDescent="0.3">
      <c r="BC561" t="s">
        <v>1552</v>
      </c>
    </row>
    <row r="562" spans="55:55" ht="14.4" x14ac:dyDescent="0.3">
      <c r="BC562" t="s">
        <v>1553</v>
      </c>
    </row>
    <row r="563" spans="55:55" ht="14.4" x14ac:dyDescent="0.3">
      <c r="BC563" t="s">
        <v>1554</v>
      </c>
    </row>
    <row r="564" spans="55:55" ht="14.4" x14ac:dyDescent="0.3">
      <c r="BC564" t="s">
        <v>1555</v>
      </c>
    </row>
    <row r="565" spans="55:55" ht="14.4" x14ac:dyDescent="0.3">
      <c r="BC565" t="s">
        <v>1556</v>
      </c>
    </row>
    <row r="566" spans="55:55" ht="14.4" x14ac:dyDescent="0.3">
      <c r="BC566" t="s">
        <v>1557</v>
      </c>
    </row>
    <row r="567" spans="55:55" ht="14.4" x14ac:dyDescent="0.3">
      <c r="BC567" t="s">
        <v>1558</v>
      </c>
    </row>
    <row r="568" spans="55:55" ht="14.4" x14ac:dyDescent="0.3">
      <c r="BC568" t="s">
        <v>1559</v>
      </c>
    </row>
    <row r="569" spans="55:55" ht="14.4" x14ac:dyDescent="0.3">
      <c r="BC569" t="s">
        <v>1560</v>
      </c>
    </row>
    <row r="570" spans="55:55" ht="14.4" x14ac:dyDescent="0.3">
      <c r="BC570" t="s">
        <v>1561</v>
      </c>
    </row>
    <row r="571" spans="55:55" ht="14.4" x14ac:dyDescent="0.3">
      <c r="BC571" t="s">
        <v>1562</v>
      </c>
    </row>
  </sheetData>
  <pageMargins left="0.7" right="0.7" top="0.75" bottom="0.75" header="0.3" footer="0.3"/>
  <tableParts count="4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177D1B2-0CC6-41F4-9B38-C3941D593A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socios</vt:lpstr>
      <vt:lpstr>membresia</vt:lpstr>
      <vt:lpstr> </vt:lpstr>
      <vt:lpstr>   </vt:lpstr>
      <vt:lpstr> 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Vilchis</dc:creator>
  <cp:lastModifiedBy>Rodrigo Vilchis</cp:lastModifiedBy>
  <cp:lastPrinted>2023-12-12T22:25:42Z</cp:lastPrinted>
  <dcterms:created xsi:type="dcterms:W3CDTF">2023-12-07T02:05:41Z</dcterms:created>
  <dcterms:modified xsi:type="dcterms:W3CDTF">2024-07-18T02:18:44Z</dcterms:modified>
</cp:coreProperties>
</file>